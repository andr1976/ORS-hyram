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AndersAndreasen\Documents\GitHub\hyram\masters\"/>
    </mc:Choice>
  </mc:AlternateContent>
  <xr:revisionPtr revIDLastSave="0" documentId="13_ncr:1_{E6346ED7-E3EF-47AC-9940-97C771EA272A}" xr6:coauthVersionLast="47" xr6:coauthVersionMax="47" xr10:uidLastSave="{00000000-0000-0000-0000-000000000000}"/>
  <bookViews>
    <workbookView xWindow="-120" yWindow="-120" windowWidth="38640" windowHeight="21120" activeTab="3" xr2:uid="{5EE5165D-7E0A-48FD-8E5F-4CC3F06737AC}"/>
  </bookViews>
  <sheets>
    <sheet name="Unconfined overpressure" sheetId="5" r:id="rId1"/>
    <sheet name="Jet flame" sheetId="4" r:id="rId2"/>
    <sheet name="Jet plume" sheetId="3" r:id="rId3"/>
    <sheet name="Confined overpressure" sheetId="6" r:id="rId4"/>
    <sheet name="xlwings.conf" sheetId="2" r:id="rId5"/>
  </sheets>
  <functionGroups builtInGroupCount="19"/>
  <externalReferences>
    <externalReference r:id="rId6"/>
    <externalReference r:id="rId7"/>
    <externalReference r:id="rId8"/>
    <externalReference r:id="rId9"/>
    <externalReference r:id="rId10"/>
    <externalReference r:id="rId11"/>
    <externalReference r:id="rId12"/>
    <externalReference r:id="rId13"/>
  </externalReferences>
  <definedNames>
    <definedName name="_Order1" hidden="1">255</definedName>
    <definedName name="_Order2" hidden="1">255</definedName>
    <definedName name="AMB_HUM" localSheetId="1">'Jet flame'!$E$26</definedName>
    <definedName name="AMB_HUM" localSheetId="2">'Jet plume'!$E$26</definedName>
    <definedName name="AMB_HUM">#REF!</definedName>
    <definedName name="AMB_PRES" localSheetId="3">'Confined overpressure'!$E$28</definedName>
    <definedName name="AMB_PRES" localSheetId="1">'Jet flame'!$E$25</definedName>
    <definedName name="AMB_PRES" localSheetId="2">'Jet plume'!$E$25</definedName>
    <definedName name="AMB_PRES" localSheetId="0">'Unconfined overpressure'!$E$27</definedName>
    <definedName name="AMB_PRES">#REF!</definedName>
    <definedName name="AMB_TEMP" localSheetId="3">'Confined overpressure'!$E$27</definedName>
    <definedName name="AMB_TEMP" localSheetId="1">'Jet flame'!$E$24</definedName>
    <definedName name="AMB_TEMP" localSheetId="2">'Jet plume'!$E$24</definedName>
    <definedName name="AMB_TEMP" localSheetId="0">'Unconfined overpressure'!$E$26</definedName>
    <definedName name="AMB_TEMP">#REF!</definedName>
    <definedName name="API_REF">[1]MANUAL!$B$81</definedName>
    <definedName name="ASME_CERT">[1]PSV_SUMMARY!$G$44</definedName>
    <definedName name="BDV_BACK_P">#REF!</definedName>
    <definedName name="BDV_BI">#REF!</definedName>
    <definedName name="BDV_CALC_TYPE">#REF!</definedName>
    <definedName name="BDV_CD1">#REF!</definedName>
    <definedName name="BDV_CD2">#REF!</definedName>
    <definedName name="BDV_CD3">#REF!</definedName>
    <definedName name="BDV_COMP">#REF!</definedName>
    <definedName name="BDV_CV1">#REF!</definedName>
    <definedName name="BDV_CV2">#REF!</definedName>
    <definedName name="BDV_CV3">#REF!</definedName>
    <definedName name="BDV_DRAIN_FF">#REF!</definedName>
    <definedName name="BDV_E_AREA">#REF!</definedName>
    <definedName name="BDV_END_TIME">#REF!</definedName>
    <definedName name="BDV_ENV_F">#REF!</definedName>
    <definedName name="BDV_EXP_A">#REF!</definedName>
    <definedName name="BDV_FIRE_TYPE">#REF!</definedName>
    <definedName name="BDV_GAS_VISC">#REF!</definedName>
    <definedName name="BDV_LIQ_DEN">#REF!</definedName>
    <definedName name="BDV_LIQ_H">#REF!</definedName>
    <definedName name="BDV_LIQ_VISC">#REF!</definedName>
    <definedName name="BDV_MAN_HEAT">#REF!</definedName>
    <definedName name="BDV_MET">#REF!</definedName>
    <definedName name="BDV_MOLE_PCT">#REF!</definedName>
    <definedName name="BDV_O_DIA1">#REF!</definedName>
    <definedName name="BDV_O_DIA2">#REF!</definedName>
    <definedName name="BDV_O_DIA3">#REF!</definedName>
    <definedName name="BDV_OUTPUT">#REF!</definedName>
    <definedName name="BDV_OUTPUT2">#REF!</definedName>
    <definedName name="BDV_P">#REF!</definedName>
    <definedName name="BDV_PCN">#REF!</definedName>
    <definedName name="BDV_POINTS">#REF!</definedName>
    <definedName name="BDV_SAMPLE_T">#REF!</definedName>
    <definedName name="BDV_SET1">#REF!</definedName>
    <definedName name="BDV_SET2">#REF!</definedName>
    <definedName name="BDV_SET3">#REF!</definedName>
    <definedName name="BDV_SIM">#REF!</definedName>
    <definedName name="BDV_SIM_RESULTS">#REF!</definedName>
    <definedName name="BDV_T">#REF!</definedName>
    <definedName name="BDV_t_delay1">#REF!</definedName>
    <definedName name="BDV_t_delay2">#REF!</definedName>
    <definedName name="BDV_t_delay3">#REF!</definedName>
    <definedName name="BDV_t_step">#REF!</definedName>
    <definedName name="BDV_TAG1">#REF!</definedName>
    <definedName name="BDV_TAG2">#REF!</definedName>
    <definedName name="BDV_TAG3">#REF!</definedName>
    <definedName name="BDV_V">#REF!</definedName>
    <definedName name="BDV_VENT_CALC">#REF!</definedName>
    <definedName name="BDV_VESS_ID">#REF!</definedName>
    <definedName name="BDV_VESS_L">#REF!</definedName>
    <definedName name="BDV_VESS_TYPE">#REF!</definedName>
    <definedName name="BDV_WAT_H">#REF!</definedName>
    <definedName name="BIN_INT">#REF!</definedName>
    <definedName name="BLOWDOWN">'Confined overpressure'!$E$17</definedName>
    <definedName name="BST_FLAME_SPEED">'Unconfined overpressure'!$E$18</definedName>
    <definedName name="CALC_BI">#REF!</definedName>
    <definedName name="CALC_CALC_TYPE">#REF!</definedName>
    <definedName name="CALC_GAS_VISC">#REF!</definedName>
    <definedName name="CALC_LIQ_DEN">#REF!</definedName>
    <definedName name="CALC_LIQ_VISC">#REF!</definedName>
    <definedName name="CALC_MET">#REF!</definedName>
    <definedName name="CALC_MOL">#REF!</definedName>
    <definedName name="CALC_MOLE_FRAC">#REF!</definedName>
    <definedName name="CALC_MOLE_PCT">#REF!</definedName>
    <definedName name="Calc_No">[2]Cover!$AG$3</definedName>
    <definedName name="CALC_P">#REF!</definedName>
    <definedName name="CALC_P2">#REF!</definedName>
    <definedName name="CALC_PCN">#REF!</definedName>
    <definedName name="CALC_T">#REF!</definedName>
    <definedName name="CALC_T2">#REF!</definedName>
    <definedName name="Calc_Title">[2]Cover!$I$4</definedName>
    <definedName name="CALC_V">#REF!</definedName>
    <definedName name="CALCULATION_METHOD">'Unconfined overpressure'!$E$17</definedName>
    <definedName name="CEIL_VENT_AREA">'Confined overpressure'!$I$22</definedName>
    <definedName name="CEIL_VENT_HEIGHT">'Confined overpressure'!$I$23</definedName>
    <definedName name="Check1">[3]Cover!$AC$52</definedName>
    <definedName name="Check2">[3]Cover!$AC$51</definedName>
    <definedName name="Check3">[3]Cover!$AC$50</definedName>
    <definedName name="CombLiqProps">[4]Settings!$D$30:$D$80</definedName>
    <definedName name="COMP_Calc_Method">#REF!</definedName>
    <definedName name="COMP_Comp_Names">#REF!</definedName>
    <definedName name="COMP_Comp_Start">#REF!</definedName>
    <definedName name="COMP_CpCv1">#REF!</definedName>
    <definedName name="COMP_CpCv2">#REF!</definedName>
    <definedName name="COMP_Eff">#REF!</definedName>
    <definedName name="COMP_Head">#REF!</definedName>
    <definedName name="COMP_KT1">#REF!</definedName>
    <definedName name="COMP_KT2">#REF!</definedName>
    <definedName name="COMP_KV1">#REF!</definedName>
    <definedName name="COMP_KV2">#REF!</definedName>
    <definedName name="COMP_MFlow">#REF!</definedName>
    <definedName name="COMP_MW">#REF!</definedName>
    <definedName name="COMP_NAMES">#REF!</definedName>
    <definedName name="COMP_NT1">#REF!</definedName>
    <definedName name="COMP_NT2">#REF!</definedName>
    <definedName name="COMP_NV1">#REF!</definedName>
    <definedName name="COMP_NV2">#REF!</definedName>
    <definedName name="COMP_P1">#REF!</definedName>
    <definedName name="COMP_P2">#REF!</definedName>
    <definedName name="COMP_Ref_Process">#REF!</definedName>
    <definedName name="COMP_ShaftP">#REF!</definedName>
    <definedName name="COMP_T1">#REF!</definedName>
    <definedName name="COMP_T2">#REF!</definedName>
    <definedName name="COMP_Thermo_Method">#REF!</definedName>
    <definedName name="COMP_Z1">#REF!</definedName>
    <definedName name="COMP_Z2">#REF!</definedName>
    <definedName name="COMPANY">[1]FRONTPAGE!#REF!</definedName>
    <definedName name="Components">#REF!</definedName>
    <definedName name="COOMP_NAMES">#REF!</definedName>
    <definedName name="Customer">[2]Cover!$I$2</definedName>
    <definedName name="CV_Calc_Cv">#REF!</definedName>
    <definedName name="CV_Calc_Method">#REF!</definedName>
    <definedName name="CV_Calculate">#REF!</definedName>
    <definedName name="CV_Cavitation">#REF!</definedName>
    <definedName name="CV_Choked_Flow">#REF!</definedName>
    <definedName name="CV_Comp_Names">#REF!</definedName>
    <definedName name="CV_Comp_Start">#REF!</definedName>
    <definedName name="CV_Cv_or_ValvePos">#REF!</definedName>
    <definedName name="CV_Design_Cv">#REF!</definedName>
    <definedName name="CV_DP">#REF!</definedName>
    <definedName name="CV_DPMax">#REF!</definedName>
    <definedName name="CV_Dyn_Visc">#REF!</definedName>
    <definedName name="CV_Exp_Factor">#REF!</definedName>
    <definedName name="Cv_Fd">#REF!</definedName>
    <definedName name="CV_Fi">#REF!</definedName>
    <definedName name="CV_Fk_Factor">#REF!</definedName>
    <definedName name="Cv_FL">#REF!</definedName>
    <definedName name="CV_Fp_Factor">#REF!</definedName>
    <definedName name="Cv_FS">#REF!</definedName>
    <definedName name="CV_Gamma">#REF!</definedName>
    <definedName name="Cv_In_Pip">#REF!</definedName>
    <definedName name="CV_Inlet_Vap_Frac">#REF!</definedName>
    <definedName name="CV_LIQ_DENSITY_METHOD">#REF!</definedName>
    <definedName name="CV_MFlow">#REF!</definedName>
    <definedName name="CV_MolW">#REF!</definedName>
    <definedName name="CV_Number_of_Stages">[5]ControlValve!$C$33</definedName>
    <definedName name="CV_Opening">#REF!</definedName>
    <definedName name="CV_Out_Pip">#REF!</definedName>
    <definedName name="CV_Outlet_Flow">#REF!</definedName>
    <definedName name="CV_Outlet_Vap_Frac">#REF!</definedName>
    <definedName name="CV_P1">#REF!</definedName>
    <definedName name="CV_P2">#REF!</definedName>
    <definedName name="CV_PC">#REF!</definedName>
    <definedName name="CV_Phase">#REF!</definedName>
    <definedName name="CV_Pres_Drop_Ratio">#REF!</definedName>
    <definedName name="CV_Pressure_Drop">#REF!</definedName>
    <definedName name="CV_Re_No">#REF!</definedName>
    <definedName name="CV_Rho">#REF!</definedName>
    <definedName name="CV_Sizes">#REF!</definedName>
    <definedName name="CV_T1">#REF!</definedName>
    <definedName name="CV_T2">#REF!</definedName>
    <definedName name="CV_Thermo_Method">#REF!</definedName>
    <definedName name="CV_Unitset">#REF!</definedName>
    <definedName name="CV_Val_Size">#REF!</definedName>
    <definedName name="CV_Valve_Opening">#REF!</definedName>
    <definedName name="CV_Valve_Type">#REF!</definedName>
    <definedName name="CV_Vapor_Pressure">#REF!</definedName>
    <definedName name="CV_VFlow">#REF!</definedName>
    <definedName name="CV_xT">#REF!</definedName>
    <definedName name="CV_Zfactor">#REF!</definedName>
    <definedName name="Date1">[3]Cover!$E$52</definedName>
    <definedName name="Date2">[3]Cover!$E$51</definedName>
    <definedName name="Date3">[3]Cover!$E$50</definedName>
    <definedName name="Disclaimer">[2]Cover!$B$54</definedName>
    <definedName name="DIST_REL_TO_WALL">'Confined overpressure'!$E$29</definedName>
    <definedName name="eFile_Loc">[2]Cover!$I$5</definedName>
    <definedName name="ENCLOSURE_HEIGHT">'Confined overpressure'!$I$20</definedName>
    <definedName name="EQUIPMENT">[1]FRONTPAGE!$A$7</definedName>
    <definedName name="Fields">#REF!</definedName>
    <definedName name="FIRE_ALLOWANCE">[1]PSV_FIRE!$G$23</definedName>
    <definedName name="FIRE_AREA">[1]PSV_FIRE!$G$51</definedName>
    <definedName name="FIRE_BACK_P">[1]PSV_FIRE!$G$25</definedName>
    <definedName name="FIRE_C">[1]PSV_FIRE!$G$42</definedName>
    <definedName name="FIRE_CALC_POINTS">#REF!</definedName>
    <definedName name="FIRE_DP_LEAD">[1]PSV_FIRE!$K$25</definedName>
    <definedName name="FIRE_DRAIN_FF">[1]PSV_FIRE!$E$18</definedName>
    <definedName name="FIRE_E_AREA">[1]PSV_FIRE!$K$14</definedName>
    <definedName name="FIRE_ENV_F">[1]PSV_FIRE!$G$33</definedName>
    <definedName name="FIRE_EXPOSED_A">[1]PSV_FIRE!$E$14</definedName>
    <definedName name="FIRE_FLOW_REGIME">[1]PSV_FIRE!$G$50</definedName>
    <definedName name="FIRE_HEAT_ABS">[1]PSV_FIRE!$G$44</definedName>
    <definedName name="FIRE_ID">[1]PSV_FIRE!$G$29</definedName>
    <definedName name="FIRE_INSTALL_AREA">[1]PSV_FIRE!$I$55</definedName>
    <definedName name="FIRE_INSTALL_ORI">[1]PSV_FIRE!$I$54</definedName>
    <definedName name="FIRE_INSTALL_RATED">[1]PSV_FIRE!$I$57</definedName>
    <definedName name="FIRE_K">[1]PSV_FIRE!$G$38</definedName>
    <definedName name="FIRE_KB">[1]PSV_FIRE!$G$47</definedName>
    <definedName name="FIRE_KC">[1]PSV_FIRE!$G$46</definedName>
    <definedName name="FIRE_KN">[1]PSV_FIRE!$G$48</definedName>
    <definedName name="FIRE_KSH">[1]PSV_FIRE!$G$49</definedName>
    <definedName name="FIRE_LATEN_H">[1]PSV_FIRE!$G$36</definedName>
    <definedName name="FIRE_LENGTH">[1]PSV_FIRE!$G$30</definedName>
    <definedName name="FIRE_LH">[1]PSV_FIRE!$G$31</definedName>
    <definedName name="FIRE_LIQ_DEN">[1]PSV_FIRE!$P$6</definedName>
    <definedName name="FIRE_MAN_HEAT">[1]PSV_FIRE!$K$44</definedName>
    <definedName name="FIRE_MET">[1]PSV_FIRE!$P$2</definedName>
    <definedName name="FIRE_MW">[1]PSV_FIRE!$G$37</definedName>
    <definedName name="FIRE_ORI">[1]PSV_FIRE!$G$54</definedName>
    <definedName name="FIRE_ORI_A">[1]PSV_FIRE!$G$55</definedName>
    <definedName name="FIRE_P_RESEAT">#REF!</definedName>
    <definedName name="FIRE_RATED">[1]PSV_FIRE!$G$57</definedName>
    <definedName name="FIRE_REL_FLOW">[1]PSV_FIRE!$G$45</definedName>
    <definedName name="FIRE_REL_P">[1]PSV_FIRE!$K$22</definedName>
    <definedName name="FIRE_REL_TIME">[1]PSV_FIRE!$G$60</definedName>
    <definedName name="FIRE_REL_TYPE">[1]PSV_FIRE!$E$15</definedName>
    <definedName name="FIRE_SET_P">[1]PSV_FIRE!$G$22</definedName>
    <definedName name="FIRE_T_REL">[1]PSV_FIRE!$G$24</definedName>
    <definedName name="FIRE_T_WALL">#REF!</definedName>
    <definedName name="FIRE_VENT_T">[1]PSV_FIRE!$G$59</definedName>
    <definedName name="FIRE_VESS_TYPE">[1]PSV_FIRE!$E$13</definedName>
    <definedName name="FIRE_WETTET_A">[1]PSV_FIRE!$G$43</definedName>
    <definedName name="FIRE_WH">[1]PSV_FIRE!$G$32</definedName>
    <definedName name="FIRE_Z">[1]PSV_FIRE!$G$39</definedName>
    <definedName name="FLAME_MASS_FLOW">'Jet flame'!$I$19</definedName>
    <definedName name="FLOOR_CEIL_AREA">'Confined overpressure'!$I$21</definedName>
    <definedName name="FLOOR_VENT_AREA">'Confined overpressure'!$I$24</definedName>
    <definedName name="FLOOR_VENT_HEIGHT">'Confined overpressure'!$I$25</definedName>
    <definedName name="GAS_ALLOWANCE" localSheetId="4">[1]PSV_GAS!$F$24</definedName>
    <definedName name="GAS_API_MET" localSheetId="4">[1]PSV_GAS!$E$15</definedName>
    <definedName name="GAS_AREA" localSheetId="4">[1]PSV_GAS!$F$43</definedName>
    <definedName name="GAS_BACK_P" localSheetId="4">[1]PSV_GAS!$F$26</definedName>
    <definedName name="GAS_CHECK_OLD">#REF!</definedName>
    <definedName name="GAS_COMP" localSheetId="4">[1]PSV_GAS!#REF!</definedName>
    <definedName name="GAS_COMP">#REF!</definedName>
    <definedName name="GAS_DP_LEAD" localSheetId="4">[1]PSV_GAS!$J$26</definedName>
    <definedName name="GAS_F_TYPE" localSheetId="4">[1]PSV_GAS!$F$54</definedName>
    <definedName name="GAS_FLOW" localSheetId="4">[1]PSV_GAS!#REF!</definedName>
    <definedName name="GAS_FLOW">#REF!</definedName>
    <definedName name="GAS_FLOW_REGIME" localSheetId="4">[1]PSV_GAS!$F$42</definedName>
    <definedName name="GAS_IN_OLD" localSheetId="4">[1]PSV_GAS!#REF!</definedName>
    <definedName name="GAS_IN_OLD">#REF!</definedName>
    <definedName name="GAS_INSTALL_AREA" localSheetId="4">[1]PSV_GAS!$I$48</definedName>
    <definedName name="GAS_INSTALL_RATED" localSheetId="4">[1]PSV_GAS!$I$50</definedName>
    <definedName name="GAS_K" localSheetId="4">[1]PSV_GAS!$F$32</definedName>
    <definedName name="GAS_K_N" localSheetId="4">[1]PSV_GAS!$F$38</definedName>
    <definedName name="GAS_K_SH" localSheetId="4">[1]PSV_GAS!$F$39</definedName>
    <definedName name="GAS_KB" localSheetId="4">[1]PSV_GAS!$F$36</definedName>
    <definedName name="GAS_KC" localSheetId="4">[1]PSV_GAS!$F$37</definedName>
    <definedName name="GAS_KD" localSheetId="4">[1]PSV_GAS!$F$28</definedName>
    <definedName name="GAS_KD">#REF!</definedName>
    <definedName name="GAS_MASS_FLOW" localSheetId="4">[1]PSV_GAS!$F$21</definedName>
    <definedName name="GAS_MET" localSheetId="4">[1]PSV_GAS!#REF!</definedName>
    <definedName name="GAS_MET">#REF!</definedName>
    <definedName name="GAS_MW" localSheetId="4">[1]PSV_GAS!$F$31</definedName>
    <definedName name="GAS_MW">#REF!</definedName>
    <definedName name="GAS_ORI_A" localSheetId="4">[1]PSV_GAS!$F$48</definedName>
    <definedName name="GAS_ORI_INSTALL" localSheetId="4">[1]PSV_GAS!$I$47</definedName>
    <definedName name="GAS_OUT_OLD" localSheetId="4">[1]PSV_GAS!#REF!</definedName>
    <definedName name="GAS_OUT_OLD">#REF!</definedName>
    <definedName name="GAS_RATED" localSheetId="4">[1]PSV_GAS!$F$50</definedName>
    <definedName name="GAS_REL_P" localSheetId="4">[1]PSV_GAS!$F$25</definedName>
    <definedName name="GAS_SET_P" localSheetId="4">[1]PSV_GAS!$F$23</definedName>
    <definedName name="GAS_T_OPR" localSheetId="4">[1]PSV_GAS!$F$27</definedName>
    <definedName name="GAS_T_VENT" localSheetId="4">[1]PSV_GAS!$F$53</definedName>
    <definedName name="GAS_Z" localSheetId="4">[1]PSV_GAS!$F$33</definedName>
    <definedName name="GFC_ALLOWANCE">[1]PSV_GFC!$F$18</definedName>
    <definedName name="GFC_AREA">[1]PSV_GFC!$F$49</definedName>
    <definedName name="GFC_BACK_P">[1]PSV_GFC!$F$19</definedName>
    <definedName name="GFC_C">[1]PSV_GFC!$F$48</definedName>
    <definedName name="GFC_CALC_TYPE">[1]PSV_GFC!$F$38</definedName>
    <definedName name="GFC_DP_LEAD">[1]PSV_GFC!$J$19</definedName>
    <definedName name="GFC_ID">[1]PSV_GFC!$F$33</definedName>
    <definedName name="GFC_INSTALL_AREA">[1]PSV_GFC!$I$54</definedName>
    <definedName name="GFC_INSTALL_ORI">[1]PSV_GFC!$I$53</definedName>
    <definedName name="GFC_INSTALL_RATED">[1]PSV_GFC!$I$56</definedName>
    <definedName name="GFC_K">[1]PSV_GFC!$F$28</definedName>
    <definedName name="GFC_KB">[1]PSV_GFC!$F$46</definedName>
    <definedName name="GFC_KC">[1]PSV_GFC!$F$47</definedName>
    <definedName name="GFC_KD">[1]PSV_GFC!$F$20</definedName>
    <definedName name="GFC_LENGTH">[1]PSV_GFC!$F$34</definedName>
    <definedName name="GFC_MET">[1]PSV_GFC!$P$3</definedName>
    <definedName name="GFC_MW">[1]PSV_GFC!$F$27</definedName>
    <definedName name="GFC_ORI">[1]PSV_GFC!$F$53</definedName>
    <definedName name="GFC_ORI_A">[1]PSV_GFC!$F$54</definedName>
    <definedName name="GFC_P_OPR">[1]PSV_GFC!$F$24</definedName>
    <definedName name="GFC_RATED">[1]PSV_GFC!$F$56</definedName>
    <definedName name="GFC_REL_FLOW">[1]PSV_GFC!$F$50</definedName>
    <definedName name="GFC_REL_P">[1]PSV_GFC!$J$17</definedName>
    <definedName name="GFC_RELIEF_T_TYPE">[1]PSV_GFC!$F$42</definedName>
    <definedName name="GFC_SET_P">[1]PSV_GFC!$F$17</definedName>
    <definedName name="GFC_T_OPR">[1]PSV_GFC!$F$23</definedName>
    <definedName name="GFC_T_WALL">[1]PSV_GFC!$F$32</definedName>
    <definedName name="GFC_Z">[1]PSV_GFC!$F$29</definedName>
    <definedName name="hello" localSheetId="4" hidden="1">{#N/A,#N/A,FALSE,"cover";#N/A,#N/A,FALSE,"page_1";#N/A,#N/A,FALSE,"page_2";#N/A,#N/A,FALSE,"page_3";#N/A,#N/A,FALSE,"page_4"}</definedName>
    <definedName name="hello" hidden="1">{#N/A,#N/A,FALSE,"cover";#N/A,#N/A,FALSE,"page_1";#N/A,#N/A,FALSE,"page_2";#N/A,#N/A,FALSE,"page_3";#N/A,#N/A,FALSE,"page_4"}</definedName>
    <definedName name="HEM_API_MET">#REF!</definedName>
    <definedName name="HEM_AREA">#REF!</definedName>
    <definedName name="HEM_CP_L">#REF!</definedName>
    <definedName name="HEM_DP_LEAD">#REF!</definedName>
    <definedName name="HEM_FLASH_TYPE">#REF!</definedName>
    <definedName name="HEM_FLOW_REGIME">#REF!</definedName>
    <definedName name="HEM_G">#REF!</definedName>
    <definedName name="HEM_H_VLO">#REF!</definedName>
    <definedName name="HEM_H_VLS">#REF!</definedName>
    <definedName name="HEM_INSTALL_AREA">#REF!</definedName>
    <definedName name="HEM_INSTALL_ORI">#REF!</definedName>
    <definedName name="HEM_INSTALL_RATED">#REF!</definedName>
    <definedName name="HEM_K">#REF!</definedName>
    <definedName name="HEM_KB">#REF!</definedName>
    <definedName name="HEM_KC">#REF!</definedName>
    <definedName name="HEM_Kd">#REF!</definedName>
    <definedName name="HEM_L_VIS">#REF!</definedName>
    <definedName name="HEM_LIQ_DEN">#REF!</definedName>
    <definedName name="HEM_METHOD">#REF!</definedName>
    <definedName name="HEM_OIL_FLOW">#REF!</definedName>
    <definedName name="HEM_ORI">#REF!</definedName>
    <definedName name="HEM_ORI_A">#REF!</definedName>
    <definedName name="HEM_P_RATIO">#REF!</definedName>
    <definedName name="HEM_PS">#REF!</definedName>
    <definedName name="HEM_Q_TOT">#REF!</definedName>
    <definedName name="HEM_Q_TOT_9">#REF!</definedName>
    <definedName name="HEM_Q_TOT_PS">#REF!</definedName>
    <definedName name="HEM_QL">#REF!</definedName>
    <definedName name="HEM_QL_9">#REF!</definedName>
    <definedName name="HEM_QL_PS">#REF!</definedName>
    <definedName name="HEM_QV">#REF!</definedName>
    <definedName name="HEM_QV_9">#REF!</definedName>
    <definedName name="HEM_QV_PS">#REF!</definedName>
    <definedName name="HEM_QW">#REF!</definedName>
    <definedName name="HEM_QW_9">#REF!</definedName>
    <definedName name="HEM_QW_PS">#REF!</definedName>
    <definedName name="HEM_RATED">#REF!</definedName>
    <definedName name="HEM_RHO_AVG">#REF!</definedName>
    <definedName name="HEM_RHO_AVG_9">#REF!</definedName>
    <definedName name="HEM_RHO_AVG_PS">#REF!</definedName>
    <definedName name="HEM_RHO_L">#REF!</definedName>
    <definedName name="HEM_RHO_L_9">#REF!</definedName>
    <definedName name="HEM_RHO_L_PS">#REF!</definedName>
    <definedName name="HEM_RHO_V">#REF!</definedName>
    <definedName name="HEM_RHO_V_9">#REF!</definedName>
    <definedName name="HEM_RHO_V_PS">#REF!</definedName>
    <definedName name="HEM_RHO_W">#REF!</definedName>
    <definedName name="HEM_RHO_W_9">#REF!</definedName>
    <definedName name="HEM_RHO_W_PS">#REF!</definedName>
    <definedName name="HEM_T_VENT">#REF!</definedName>
    <definedName name="HEM_W">#REF!</definedName>
    <definedName name="HEM_W_VIS">#REF!</definedName>
    <definedName name="HEM_WATER_FLOW">#REF!</definedName>
    <definedName name="HYRAM_COMPS" localSheetId="3">'Confined overpressure'!$M$14:$M$25</definedName>
    <definedName name="HYRAM_COMPS" localSheetId="1">'Jet flame'!$M$14:$M$25</definedName>
    <definedName name="HYRAM_COMPS" localSheetId="0">'Unconfined overpressure'!$M$14:$M$25</definedName>
    <definedName name="HYRAM_COMPS">'Jet plume'!$M$14:$M$25</definedName>
    <definedName name="HYRAM_MOLEFRACS" localSheetId="3">'Confined overpressure'!$O$14:$O$25</definedName>
    <definedName name="HYRAM_MOLEFRACS" localSheetId="1">'Jet flame'!$O$14:$O$25</definedName>
    <definedName name="HYRAM_MOLEFRACS" localSheetId="0">'Unconfined overpressure'!$O$14:$O$25</definedName>
    <definedName name="HYRAM_MOLEFRACS">'Jet plume'!$O$14:$O$25</definedName>
    <definedName name="ID">[6]PSV_FCH!$G$35</definedName>
    <definedName name="ID_Spec_Maersk">#REF!</definedName>
    <definedName name="ID_Spec_NORSOK">#REF!</definedName>
    <definedName name="ID_Spec_Standard">#REF!</definedName>
    <definedName name="ID_Valve_Size">#REF!</definedName>
    <definedName name="INCLUDE_COMP">[1]PURE_COMPONENTS!$B$2:$B$24</definedName>
    <definedName name="INCLUDE_PSEUDO">[1]PSEUDO_COMPONENTS!$B$2:$B$21</definedName>
    <definedName name="Insulation">#REF!</definedName>
    <definedName name="k_MET">#REF!</definedName>
    <definedName name="KK">[6]PSV_V2!$G$33</definedName>
    <definedName name="LEAK_CD" localSheetId="3">'Confined overpressure'!$E$26</definedName>
    <definedName name="LEAK_CD" localSheetId="1">'Jet flame'!$E$23</definedName>
    <definedName name="LEAK_CD" localSheetId="2">'Jet plume'!$E$23</definedName>
    <definedName name="LEAK_CD" localSheetId="0">'Unconfined overpressure'!$E$25</definedName>
    <definedName name="LEAK_CD">#REF!</definedName>
    <definedName name="LEAK_DIAMETER" localSheetId="3">'Confined overpressure'!$E$22</definedName>
    <definedName name="LEAK_DIAMETER" localSheetId="1">'Jet flame'!$E$21</definedName>
    <definedName name="LEAK_DIAMETER" localSheetId="2">'Jet plume'!$E$21</definedName>
    <definedName name="LEAK_DIAMETER" localSheetId="0">'Unconfined overpressure'!$E$23</definedName>
    <definedName name="LEAK_DIAMETER">#REF!</definedName>
    <definedName name="LFL">'Jet plume'!$I$25</definedName>
    <definedName name="LH">[6]PSV_FCH!$G$37</definedName>
    <definedName name="LHE_ALFA">[1]PSV_LHE!$F$48</definedName>
    <definedName name="LHE_ALLOWANCE">[1]PSV_LHE!$F$22</definedName>
    <definedName name="LHE_AREA">[1]PSV_LHE!$F$38</definedName>
    <definedName name="LHE_BACK_P">[1]PSV_LHE!$F$23</definedName>
    <definedName name="LHE_CALC">#REF!</definedName>
    <definedName name="LHE_CP">[1]PSV_LHE!$F$31</definedName>
    <definedName name="LHE_DP_LEAD">[1]PSV_LHE!$J$23</definedName>
    <definedName name="LHE_F">[1]PSV_LHE!$F$39</definedName>
    <definedName name="LHE_FF">[1]PSV_LHE!$E$18</definedName>
    <definedName name="LHE_HEAT">[1]PSV_LHE!$F$49</definedName>
    <definedName name="LHE_ID">[1]PSV_LHE!$F$36</definedName>
    <definedName name="LHE_INSTALL_AREA">[1]PSV_LHE!$I$57</definedName>
    <definedName name="LHE_INSTALL_ORI">[1]PSV_LHE!$I$56</definedName>
    <definedName name="LHE_INSTALL_RATED">[1]PSV_LHE!$I$59</definedName>
    <definedName name="LHE_K_W">[1]PSV_LHE!$F$43</definedName>
    <definedName name="LHE_KC">[1]PSV_LHE!$F$42</definedName>
    <definedName name="LHE_KD">[1]PSV_LHE!$F$25</definedName>
    <definedName name="LHE_KP">[1]PSV_LHE!$F$44</definedName>
    <definedName name="LHE_KV">[1]PSV_LHE!$F$45</definedName>
    <definedName name="LHE_LENGTH">[1]PSV_LHE!$F$37</definedName>
    <definedName name="LHE_LIQ_DEN">[1]PSV_LHE!$O$5</definedName>
    <definedName name="LHE_MAN_ALFA">[1]PSV_LHE!$J$48</definedName>
    <definedName name="LHE_MAN_HEAT">[1]PSV_LHE!$J$49</definedName>
    <definedName name="LHE_MET">[1]PSV_LHE!$O$2</definedName>
    <definedName name="LHE_MF">[1]PSV_LHE!$F$50</definedName>
    <definedName name="LHE_ORI">[1]PSV_LHE!$F$56</definedName>
    <definedName name="LHE_ORI_AREA">[1]PSV_LHE!$F$57</definedName>
    <definedName name="LHE_P_OPR">[1]PSV_LHE!$F$29</definedName>
    <definedName name="LHE_RATED">[1]PSV_LHE!$F$59</definedName>
    <definedName name="LHE_RE">[1]PSV_LHE!$F$51</definedName>
    <definedName name="LHE_REL_AREA">[1]PSV_LHE!$F$52</definedName>
    <definedName name="LHE_REL_P">[1]PSV_LHE!$J$21</definedName>
    <definedName name="LHE_RHO1">[1]PSV_LHE!$F$32</definedName>
    <definedName name="LHE_RHO2">[1]PSV_LHE!$F$33</definedName>
    <definedName name="LHE_SET_P">[1]PSV_LHE!$F$21</definedName>
    <definedName name="LHE_T_OPR">[1]PSV_LHE!$F$28</definedName>
    <definedName name="LHE_T_REL">[1]PSV_LHE!$F$24</definedName>
    <definedName name="LHE_TIME">[1]PSV_LHE!$F$53</definedName>
    <definedName name="LHE_VISC">[1]PSV_LHE!$F$30</definedName>
    <definedName name="LIQ_ALLOWANCE">[1]PSV_LIQUID!$F$24</definedName>
    <definedName name="LIQ_API_MET">[1]PSV_LIQUID!$F$16</definedName>
    <definedName name="LIQ_AREA">[1]PSV_LIQUID!$F$42</definedName>
    <definedName name="LIQ_DP_LEAD">[1]PSV_LIQUID!$J$26</definedName>
    <definedName name="LIQ_F_TYPE">[1]PSV_LIQUID!$F$53</definedName>
    <definedName name="LIQ_FLOW">[1]PSV_LIQUID!#REF!</definedName>
    <definedName name="LIQ_G">[1]PSV_LIQUID!$F$31</definedName>
    <definedName name="LIQ_INSTALL_AREA">[1]PSV_LIQUID!$I$47</definedName>
    <definedName name="LIQ_INSTALL_RATED">[1]PSV_LIQUID!$I$49</definedName>
    <definedName name="LIQ_KC">[1]PSV_LIQUID!$F$35</definedName>
    <definedName name="LIQ_KD">[1]PSV_LIQUID!$F$28</definedName>
    <definedName name="LIQ_KP">[1]PSV_LIQUID!$F$37</definedName>
    <definedName name="LIQ_KV">[1]PSV_LIQUID!$F$38</definedName>
    <definedName name="LIQ_KW">[1]PSV_LIQUID!$F$36</definedName>
    <definedName name="LIQ_MET">[1]PSV_LIQUID!#REF!</definedName>
    <definedName name="LIQ_ORI">[1]PSV_LIQUID!$F$46</definedName>
    <definedName name="LIQ_ORI_A">[1]PSV_LIQUID!$F$47</definedName>
    <definedName name="LIQ_ORI_INSTALL">[1]PSV_LIQUID!$I$46</definedName>
    <definedName name="LIQ_P_BACK">[1]PSV_LIQUID!$F$26</definedName>
    <definedName name="LIQ_RATED">[1]PSV_LIQUID!$F$49</definedName>
    <definedName name="LIQ_RE">[1]PSV_LIQUID!$F$41</definedName>
    <definedName name="LIQ_SET_P">[1]PSV_LIQUID!$F$23</definedName>
    <definedName name="LIQ_T_OPR">[1]PSV_LIQUID!$F$27</definedName>
    <definedName name="LIQ_T_VENT">[1]PSV_LIQUID!$F$52</definedName>
    <definedName name="LIQ_VIS">[1]PSV_LIQUID!$F$32</definedName>
    <definedName name="Mass_Flux">OFFSET(#REF!,0,0,COUNTIF(#REF!,"&gt;0")+1,1)</definedName>
    <definedName name="MAX_TIME">'Confined overpressure'!$E$32</definedName>
    <definedName name="NOZZLE_MODEL" localSheetId="3">'Confined overpressure'!$E$15</definedName>
    <definedName name="NOZZLE_MODEL" localSheetId="1">'Jet flame'!$E$15</definedName>
    <definedName name="NOZZLE_MODEL" localSheetId="2">'Jet plume'!$E$15</definedName>
    <definedName name="NOZZLE_MODEL" localSheetId="0">'Unconfined overpressure'!$E$15</definedName>
    <definedName name="NOZZLE_MODEL">#REF!</definedName>
    <definedName name="OMEGA_HEM">#REF!</definedName>
    <definedName name="Orifice_Name">[1]PSV_SUMMARY!$C$64:$C$79</definedName>
    <definedName name="Orifice_size">[1]PSV_SUMMARY!$D$64:$D$79</definedName>
    <definedName name="OverallProps">[4]Settings!$A$30:$A$150</definedName>
    <definedName name="OVERP_IMPULSE">'Unconfined overpressure'!$I$23</definedName>
    <definedName name="OVERP_MASS">'Unconfined overpressure'!$I$24</definedName>
    <definedName name="OVERP_MASS_FLOW">'Unconfined overpressure'!$I$21</definedName>
    <definedName name="OVERP_PRESSURE">'Unconfined overpressure'!$I$22</definedName>
    <definedName name="OVERP_X">'Unconfined overpressure'!$E$28</definedName>
    <definedName name="OVERP_Y">'Unconfined overpressure'!$E$29</definedName>
    <definedName name="OVERP_Z">'Unconfined overpressure'!$E$30</definedName>
    <definedName name="Pages">[2]Cover!$AL$6</definedName>
    <definedName name="pFile_Loc">[2]Cover!$J$6</definedName>
    <definedName name="Phase">[2]Cover!$AH$4</definedName>
    <definedName name="PIogD">[1]FRONTPAGE!$A$6</definedName>
    <definedName name="POSITIONAL_FLUX">'Jet flame'!$I$20</definedName>
    <definedName name="PosPhases">[4]Settings!$H$4:$H$14</definedName>
    <definedName name="Pressure">OFFSET(#REF!,0,0,COUNTIF(#REF!,"&gt;0"),1)</definedName>
    <definedName name="_xlnm.Print_Area" localSheetId="3">'Confined overpressure'!$A$1:$K$217</definedName>
    <definedName name="_xlnm.Print_Area" localSheetId="1">'Jet flame'!$A$1:$K$120</definedName>
    <definedName name="_xlnm.Print_Area" localSheetId="2">'Jet plume'!$A$1:$K$64</definedName>
    <definedName name="_xlnm.Print_Area" localSheetId="0">'Unconfined overpressure'!$A$1:$K$119</definedName>
    <definedName name="_xlnm.Print_Titles" localSheetId="3">'Confined overpressure'!$1:$10</definedName>
    <definedName name="_xlnm.Print_Titles" localSheetId="1">'Jet flame'!$1:$10</definedName>
    <definedName name="_xlnm.Print_Titles" localSheetId="2">'Jet plume'!$1:$10</definedName>
    <definedName name="_xlnm.Print_Titles" localSheetId="0">'Unconfined overpressure'!$1:$10</definedName>
    <definedName name="Proj_No">[2]Cover!$AG$2</definedName>
    <definedName name="Proj_Title">[2]Cover!$I$3</definedName>
    <definedName name="PSEUDO_NAMES">[1]PSEUDO_COMPONENTS!$A$2:$A$21</definedName>
    <definedName name="PSV_INSTALL_AREA">[1]PSV_SUMMARY!$K$40</definedName>
    <definedName name="PSV_INSTALL_ORIFICE">[1]PSV_SUMMARY!$K$37</definedName>
    <definedName name="PSV_TYPE">[1]PSV_SUMMARY!$G$35</definedName>
    <definedName name="PURE_COMP_DATA">#REF!</definedName>
    <definedName name="RADIANT_FRAC">'Jet flame'!$I$23</definedName>
    <definedName name="RADIATION_X">'Jet flame'!$E$28</definedName>
    <definedName name="RADIATION_Y">'Jet flame'!$E$29</definedName>
    <definedName name="RADIATION_Z">'Jet flame'!$E$30</definedName>
    <definedName name="RADIATIVE_POWER">'Jet flame'!$I$21</definedName>
    <definedName name="rCV_In_ExOut">#REF!</definedName>
    <definedName name="rCV_In_Out">#REF!</definedName>
    <definedName name="rCV_Inlet_Piping">#REF!</definedName>
    <definedName name="rCV_Outlet_Piping">#REF!</definedName>
    <definedName name="rCV_RedIn_ExOut">#REF!</definedName>
    <definedName name="rCV_RedIn_Out">#REF!</definedName>
    <definedName name="rCV_Valve_Size">#REF!</definedName>
    <definedName name="rDynamicPicture" localSheetId="4">INDIRECT("rCV_"&amp;#REF!&amp;"_"&amp;#REF!)</definedName>
    <definedName name="rDynamicPicture">INDIRECT("rCV_"&amp;#REF!&amp;"_"&amp;#REF!)</definedName>
    <definedName name="REL_COMP" localSheetId="3">'Confined overpressure'!$E$16</definedName>
    <definedName name="REL_COMP" localSheetId="1">'Jet flame'!$E$16</definedName>
    <definedName name="REL_COMP" localSheetId="0">'Unconfined overpressure'!$E$16</definedName>
    <definedName name="REL_COMP">'Jet plume'!$E$16</definedName>
    <definedName name="REL_HEIGHT">'Confined overpressure'!$E$24</definedName>
    <definedName name="RELEASE_ANGLE" localSheetId="3">'Confined overpressure'!$E$23</definedName>
    <definedName name="RELEASE_ANGLE" localSheetId="1">'Jet flame'!$E$22</definedName>
    <definedName name="RELEASE_ANGLE" localSheetId="2">'Jet plume'!$E$22</definedName>
    <definedName name="RELEASE_ANGLE" localSheetId="0">'Unconfined overpressure'!$E$24</definedName>
    <definedName name="RELEASE_ANGLE">#REF!</definedName>
    <definedName name="RES_MASS_FLOW" localSheetId="2">'Jet plume'!$I$19</definedName>
    <definedName name="RES_MASS_FLOW">#REF!</definedName>
    <definedName name="RES_MAX_X" localSheetId="2">'Jet plume'!$I$22</definedName>
    <definedName name="RES_MAX_X">#REF!</definedName>
    <definedName name="RES_MAX_Y" localSheetId="2">'Jet plume'!$I$24</definedName>
    <definedName name="RES_MAX_Y">#REF!</definedName>
    <definedName name="RES_MIN_X" localSheetId="2">'Jet plume'!$I$21</definedName>
    <definedName name="RES_MIN_X">#REF!</definedName>
    <definedName name="RES_MIN_Y" localSheetId="2">'Jet plume'!$I$23</definedName>
    <definedName name="RES_MIN_Y">#REF!</definedName>
    <definedName name="RES_STREAM_LENGTH" localSheetId="2">'Jet plume'!$I$20</definedName>
    <definedName name="RES_STREAM_LENGTH">#REF!</definedName>
    <definedName name="rID_Spec_Maersk">#REF!</definedName>
    <definedName name="rID_Spec_NORSOK">#REF!</definedName>
    <definedName name="rID_Spec_Standard">#REF!</definedName>
    <definedName name="RIG_ALLOW">[1]PSV_HEM!$F$22</definedName>
    <definedName name="RIG_AREA">[1]PSV_HEM!$F$41</definedName>
    <definedName name="RIG_BI">[1]PSV_HEM!#REF!</definedName>
    <definedName name="RIG_COMP_OUTPUT">[1]PSV_HEM!#REF!</definedName>
    <definedName name="RIG_FLOW">[1]PSV_HEM!#REF!</definedName>
    <definedName name="RIG_G_MAX">[1]PSV_HEM!$F$30</definedName>
    <definedName name="RIG_GAS_FLOW1">[1]PSV_HEM!$F$50</definedName>
    <definedName name="RIG_KB">[1]PSV_HEM!$F$37</definedName>
    <definedName name="RIG_KC">[1]PSV_HEM!$F$38</definedName>
    <definedName name="RIG_KD">[1]PSV_HEM!$F$25</definedName>
    <definedName name="RIG_KV">[1]PSV_HEM!$F$39</definedName>
    <definedName name="RIG_LIQ_DEN">[1]PSV_HEM!#REF!</definedName>
    <definedName name="RIG_MET">[1]PSV_HEM!#REF!</definedName>
    <definedName name="RIG_MOLE_PCT">[1]PSV_HEM!#REF!</definedName>
    <definedName name="RIG_OIL_FLOW1">[1]PSV_HEM!$F$51</definedName>
    <definedName name="RIG_ORI">[1]PSV_HEM!$F$44</definedName>
    <definedName name="RIG_ORI_AREA">[1]PSV_HEM!$F$45</definedName>
    <definedName name="RIG_P_BACK">[1]PSV_HEM!$F$23</definedName>
    <definedName name="RIG_PCN">[1]PSV_HEM!#REF!</definedName>
    <definedName name="RIG_RATED">[1]PSV_HEM!$F$47</definedName>
    <definedName name="RIG_REL_P">[1]PSV_HEM!$F$21</definedName>
    <definedName name="RIG_REL_T">[1]PSV_HEM!$F$24</definedName>
    <definedName name="RIG_SET_P">[1]PSV_HEM!$F$20</definedName>
    <definedName name="RIG_THROAT_P">[1]PSV_HEM!$F$27</definedName>
    <definedName name="RIG_THROAT_T">[1]PSV_HEM!$F$28</definedName>
    <definedName name="RIG_VENT_T">[1]PSV_HEM!$F$49</definedName>
    <definedName name="RIG_WTR_FLOW1">[1]PSV_HEM!$F$52</definedName>
    <definedName name="RR">[6]PSV_V2!$G$50</definedName>
    <definedName name="RUPTURE_DISK">[1]PSV_SUMMARY!$G$43</definedName>
    <definedName name="sencount" hidden="1">1</definedName>
    <definedName name="SET_GAS_V1">#REF!</definedName>
    <definedName name="SET_GAS_V2">#REF!</definedName>
    <definedName name="SET_GAS_V3">#REF!</definedName>
    <definedName name="SET_GAS_V4">#REF!</definedName>
    <definedName name="SET_GAS_V5">#REF!</definedName>
    <definedName name="SET_GAS_V6">#REF!</definedName>
    <definedName name="SET_LIQ_V1">#REF!</definedName>
    <definedName name="SET_LIQ_V2">#REF!</definedName>
    <definedName name="SET_LIQ_V3">#REF!</definedName>
    <definedName name="SET_LIQ_V4">#REF!</definedName>
    <definedName name="SET_LIQ_V5">#REF!</definedName>
    <definedName name="SET_LIQ_V6">#REF!</definedName>
    <definedName name="SET_P">[1]PSV_SUMMARY!$G$46</definedName>
    <definedName name="SET_P1">#REF!</definedName>
    <definedName name="SET_P2">#REF!</definedName>
    <definedName name="SET_P3">#REF!</definedName>
    <definedName name="SET_P4">#REF!</definedName>
    <definedName name="SET_P5">#REF!</definedName>
    <definedName name="SET_P6">#REF!</definedName>
    <definedName name="SET_T1">#REF!</definedName>
    <definedName name="SET_T2">#REF!</definedName>
    <definedName name="SET_T3">#REF!</definedName>
    <definedName name="SET_T4">#REF!</definedName>
    <definedName name="SET_T5">#REF!</definedName>
    <definedName name="SET_T6">#REF!</definedName>
    <definedName name="SET_V1_USE">#REF!</definedName>
    <definedName name="SET_V2_USE">#REF!</definedName>
    <definedName name="SET_V3_USE">#REF!</definedName>
    <definedName name="SET_V4_USE">#REF!</definedName>
    <definedName name="SET_V5_USE">#REF!</definedName>
    <definedName name="SET_V6_USE">#REF!</definedName>
    <definedName name="SETTLE_BACK_P">#REF!</definedName>
    <definedName name="SETTLE_BI">#REF!</definedName>
    <definedName name="SETTLE_CALC_TYPE">#REF!</definedName>
    <definedName name="SETTLE_GAS_VISC">#REF!</definedName>
    <definedName name="SETTLE_HEM_W">#REF!</definedName>
    <definedName name="SETTLE_LIQ_DEN">#REF!</definedName>
    <definedName name="SETTLE_LIQ_VISC">#REF!</definedName>
    <definedName name="SETTLE_MET">#REF!</definedName>
    <definedName name="SETTLE_METH">#REF!</definedName>
    <definedName name="SETTLE_MOL">#REF!</definedName>
    <definedName name="SETTLE_MOLE_FRAC">#REF!</definedName>
    <definedName name="SETTLE_MOLE_PCT">#REF!</definedName>
    <definedName name="SETTLE_P">#REF!</definedName>
    <definedName name="SETTLE_P2">#REF!</definedName>
    <definedName name="SETTLE_PCN">#REF!</definedName>
    <definedName name="SETTLE_Stine">#REF!</definedName>
    <definedName name="SETTLE_T">#REF!</definedName>
    <definedName name="SETTLE_T2">#REF!</definedName>
    <definedName name="SETTLE_V">#REF!</definedName>
    <definedName name="STAG_PRES" localSheetId="3">'Confined overpressure'!$E$21</definedName>
    <definedName name="STAG_PRES" localSheetId="1">'Jet flame'!$E$20</definedName>
    <definedName name="STAG_PRES" localSheetId="2">'Jet plume'!$E$20</definedName>
    <definedName name="STAG_PRES" localSheetId="0">'Unconfined overpressure'!$E$22</definedName>
    <definedName name="STAG_PRES">#REF!</definedName>
    <definedName name="STAG_TEMP" localSheetId="3">'Confined overpressure'!$E$20</definedName>
    <definedName name="STAG_TEMP" localSheetId="1">'Jet flame'!$E$19</definedName>
    <definedName name="STAG_TEMP" localSheetId="2">'Jet plume'!$E$19</definedName>
    <definedName name="STAG_TEMP" localSheetId="0">'Unconfined overpressure'!$E$21</definedName>
    <definedName name="STAG_TEMP">#REF!</definedName>
    <definedName name="Stine">#REF!</definedName>
    <definedName name="TAG_NO">[1]FRONTPAGE!$A$5</definedName>
    <definedName name="TANK_VOLUME">'Confined overpressure'!$E$25</definedName>
    <definedName name="TIS">'[7]1 - Exterior Fire (PSV Sizing)'!$Q$30</definedName>
    <definedName name="TITLE">[1]FRONTPAGE!$A$3</definedName>
    <definedName name="TOLGA_SET_P">#REF!</definedName>
    <definedName name="TOLGA_SET_T">#REF!</definedName>
    <definedName name="Total_Pages">'[8]Cover Page'!$K$6</definedName>
    <definedName name="VapourProps">[4]Settings!$B$30:$B$80</definedName>
    <definedName name="VENT_RATE">'Confined overpressure'!$I$26</definedName>
    <definedName name="VISIBLE_LENGTH">'Jet flame'!$I$22</definedName>
    <definedName name="VL">[6]PSV_FCH!$G$36</definedName>
    <definedName name="WIND_SPEED">'Jet flame'!$E$27</definedName>
    <definedName name="wrn.Calulation._.Sheets." localSheetId="4" hidden="1">{#N/A,#N/A,FALSE,"cover";#N/A,#N/A,FALSE,"page_1";#N/A,#N/A,FALSE,"page_2";#N/A,#N/A,FALSE,"page_3";#N/A,#N/A,FALSE,"page_4"}</definedName>
    <definedName name="wrn.Calulation._.Sheets." hidden="1">{#N/A,#N/A,FALSE,"cover";#N/A,#N/A,FALSE,"page_1";#N/A,#N/A,FALSE,"page_2";#N/A,#N/A,FALSE,"page_3";#N/A,#N/A,FALSE,"page_4"}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8" i="6" l="1"/>
  <c r="O98" i="6" s="1"/>
  <c r="M97" i="6"/>
  <c r="O97" i="6" s="1"/>
  <c r="O96" i="6"/>
  <c r="M96" i="6"/>
  <c r="M95" i="6"/>
  <c r="O95" i="6" s="1"/>
  <c r="M94" i="6"/>
  <c r="O94" i="6" s="1"/>
  <c r="O93" i="6"/>
  <c r="M92" i="6"/>
  <c r="O92" i="6" s="1"/>
  <c r="M91" i="6"/>
  <c r="O91" i="6" s="1"/>
  <c r="M90" i="6"/>
  <c r="O90" i="6" s="1"/>
  <c r="M89" i="6"/>
  <c r="O89" i="6" s="1"/>
  <c r="O88" i="6"/>
  <c r="M88" i="6"/>
  <c r="O87" i="6"/>
  <c r="O86" i="6" s="1"/>
  <c r="B58" i="6" s="1"/>
  <c r="M87" i="6"/>
  <c r="M84" i="6"/>
  <c r="O84" i="6" s="1"/>
  <c r="O83" i="6"/>
  <c r="M83" i="6"/>
  <c r="M82" i="6"/>
  <c r="O82" i="6" s="1"/>
  <c r="M81" i="6"/>
  <c r="O81" i="6" s="1"/>
  <c r="M80" i="6"/>
  <c r="O80" i="6" s="1"/>
  <c r="M79" i="6"/>
  <c r="O79" i="6" s="1"/>
  <c r="M78" i="6"/>
  <c r="O78" i="6" s="1"/>
  <c r="O77" i="6"/>
  <c r="M77" i="6"/>
  <c r="O76" i="6"/>
  <c r="M76" i="6"/>
  <c r="M75" i="6"/>
  <c r="O75" i="6" s="1"/>
  <c r="M74" i="6"/>
  <c r="O74" i="6" s="1"/>
  <c r="M73" i="6"/>
  <c r="O73" i="6" s="1"/>
  <c r="O72" i="6"/>
  <c r="M72" i="6"/>
  <c r="O71" i="6"/>
  <c r="M70" i="6"/>
  <c r="O70" i="6" s="1"/>
  <c r="M69" i="6"/>
  <c r="O69" i="6" s="1"/>
  <c r="M68" i="6"/>
  <c r="O68" i="6" s="1"/>
  <c r="O67" i="6" s="1"/>
  <c r="M58" i="6"/>
  <c r="M56" i="6"/>
  <c r="M55" i="6"/>
  <c r="M54" i="6"/>
  <c r="M53" i="6"/>
  <c r="M52" i="6"/>
  <c r="M51" i="6"/>
  <c r="M50" i="6"/>
  <c r="M49" i="6"/>
  <c r="M48" i="6"/>
  <c r="M47" i="6"/>
  <c r="M46" i="6"/>
  <c r="M45" i="6"/>
  <c r="M44" i="6"/>
  <c r="M43" i="6"/>
  <c r="M42" i="6"/>
  <c r="M41" i="6"/>
  <c r="M40" i="6"/>
  <c r="M39" i="6"/>
  <c r="N26" i="6"/>
  <c r="O18" i="6" s="1"/>
  <c r="O25" i="6"/>
  <c r="O24" i="6"/>
  <c r="O23" i="6"/>
  <c r="O22" i="6"/>
  <c r="O21" i="6"/>
  <c r="O20" i="6"/>
  <c r="O19" i="6"/>
  <c r="D9" i="6"/>
  <c r="D8" i="6"/>
  <c r="D7" i="6"/>
  <c r="A3" i="6"/>
  <c r="M98" i="5"/>
  <c r="O98" i="5" s="1"/>
  <c r="M97" i="5"/>
  <c r="O97" i="5" s="1"/>
  <c r="M96" i="5"/>
  <c r="O96" i="5" s="1"/>
  <c r="M95" i="5"/>
  <c r="O95" i="5" s="1"/>
  <c r="M94" i="5"/>
  <c r="O94" i="5" s="1"/>
  <c r="O93" i="5"/>
  <c r="M92" i="5"/>
  <c r="O92" i="5" s="1"/>
  <c r="M91" i="5"/>
  <c r="O91" i="5" s="1"/>
  <c r="M90" i="5"/>
  <c r="O90" i="5" s="1"/>
  <c r="M89" i="5"/>
  <c r="O89" i="5" s="1"/>
  <c r="M88" i="5"/>
  <c r="O88" i="5" s="1"/>
  <c r="M87" i="5"/>
  <c r="O87" i="5" s="1"/>
  <c r="M84" i="5"/>
  <c r="O84" i="5" s="1"/>
  <c r="M83" i="5"/>
  <c r="O83" i="5" s="1"/>
  <c r="M82" i="5"/>
  <c r="O82" i="5" s="1"/>
  <c r="M81" i="5"/>
  <c r="O81" i="5" s="1"/>
  <c r="M80" i="5"/>
  <c r="O80" i="5" s="1"/>
  <c r="M79" i="5"/>
  <c r="O79" i="5" s="1"/>
  <c r="M78" i="5"/>
  <c r="O78" i="5" s="1"/>
  <c r="M77" i="5"/>
  <c r="O77" i="5" s="1"/>
  <c r="M76" i="5"/>
  <c r="O76" i="5" s="1"/>
  <c r="M75" i="5"/>
  <c r="O75" i="5" s="1"/>
  <c r="M74" i="5"/>
  <c r="O74" i="5" s="1"/>
  <c r="M73" i="5"/>
  <c r="O73" i="5" s="1"/>
  <c r="M72" i="5"/>
  <c r="O72" i="5" s="1"/>
  <c r="O71" i="5"/>
  <c r="M70" i="5"/>
  <c r="O70" i="5" s="1"/>
  <c r="M69" i="5"/>
  <c r="O69" i="5" s="1"/>
  <c r="M68" i="5"/>
  <c r="O68" i="5" s="1"/>
  <c r="M58" i="5"/>
  <c r="M56" i="5"/>
  <c r="M55" i="5"/>
  <c r="M54" i="5"/>
  <c r="M53" i="5"/>
  <c r="M52" i="5"/>
  <c r="M51" i="5"/>
  <c r="M50" i="5"/>
  <c r="M49" i="5"/>
  <c r="M48" i="5"/>
  <c r="M47" i="5"/>
  <c r="M46" i="5"/>
  <c r="M45" i="5"/>
  <c r="M44" i="5"/>
  <c r="M43" i="5"/>
  <c r="M42" i="5"/>
  <c r="M41" i="5"/>
  <c r="M40" i="5"/>
  <c r="M39" i="5"/>
  <c r="N26" i="5"/>
  <c r="O19" i="5" s="1"/>
  <c r="O25" i="5"/>
  <c r="O24" i="5"/>
  <c r="O23" i="5"/>
  <c r="O22" i="5"/>
  <c r="O21" i="5"/>
  <c r="O20" i="5"/>
  <c r="O18" i="5"/>
  <c r="D9" i="5"/>
  <c r="D8" i="5"/>
  <c r="D7" i="5"/>
  <c r="A3" i="5"/>
  <c r="M99" i="4"/>
  <c r="O99" i="4" s="1"/>
  <c r="M98" i="4"/>
  <c r="O98" i="4" s="1"/>
  <c r="M97" i="4"/>
  <c r="O97" i="4" s="1"/>
  <c r="M96" i="4"/>
  <c r="O96" i="4" s="1"/>
  <c r="M95" i="4"/>
  <c r="O95" i="4" s="1"/>
  <c r="O94" i="4"/>
  <c r="M93" i="4"/>
  <c r="O93" i="4" s="1"/>
  <c r="M92" i="4"/>
  <c r="O92" i="4" s="1"/>
  <c r="M91" i="4"/>
  <c r="O91" i="4" s="1"/>
  <c r="M90" i="4"/>
  <c r="O90" i="4" s="1"/>
  <c r="M89" i="4"/>
  <c r="O89" i="4" s="1"/>
  <c r="M88" i="4"/>
  <c r="O88" i="4" s="1"/>
  <c r="M85" i="4"/>
  <c r="O85" i="4" s="1"/>
  <c r="M84" i="4"/>
  <c r="O84" i="4" s="1"/>
  <c r="M83" i="4"/>
  <c r="O83" i="4" s="1"/>
  <c r="M82" i="4"/>
  <c r="O82" i="4" s="1"/>
  <c r="M81" i="4"/>
  <c r="O81" i="4" s="1"/>
  <c r="M80" i="4"/>
  <c r="O80" i="4" s="1"/>
  <c r="M79" i="4"/>
  <c r="O79" i="4" s="1"/>
  <c r="M78" i="4"/>
  <c r="O78" i="4" s="1"/>
  <c r="M77" i="4"/>
  <c r="O77" i="4" s="1"/>
  <c r="M76" i="4"/>
  <c r="O76" i="4" s="1"/>
  <c r="M75" i="4"/>
  <c r="O75" i="4" s="1"/>
  <c r="M74" i="4"/>
  <c r="O74" i="4" s="1"/>
  <c r="M73" i="4"/>
  <c r="O73" i="4" s="1"/>
  <c r="O72" i="4"/>
  <c r="M71" i="4"/>
  <c r="O71" i="4" s="1"/>
  <c r="M70" i="4"/>
  <c r="O70" i="4" s="1"/>
  <c r="M69" i="4"/>
  <c r="O69" i="4" s="1"/>
  <c r="M56" i="4"/>
  <c r="M55" i="4"/>
  <c r="M54" i="4"/>
  <c r="M53" i="4"/>
  <c r="M52" i="4"/>
  <c r="M51" i="4"/>
  <c r="M50" i="4"/>
  <c r="M49" i="4"/>
  <c r="M48" i="4"/>
  <c r="M47" i="4"/>
  <c r="M46" i="4"/>
  <c r="M45" i="4"/>
  <c r="M44" i="4"/>
  <c r="M43" i="4"/>
  <c r="M42" i="4"/>
  <c r="M41" i="4"/>
  <c r="M40" i="4"/>
  <c r="M39" i="4"/>
  <c r="N26" i="4"/>
  <c r="O20" i="4" s="1"/>
  <c r="O25" i="4"/>
  <c r="O24" i="4"/>
  <c r="D9" i="4"/>
  <c r="D8" i="4"/>
  <c r="D7" i="4"/>
  <c r="A3" i="4"/>
  <c r="O15" i="3"/>
  <c r="O16" i="3"/>
  <c r="O17" i="3"/>
  <c r="O18" i="3"/>
  <c r="N26" i="3"/>
  <c r="O19" i="3" s="1"/>
  <c r="A122" i="3"/>
  <c r="M98" i="3"/>
  <c r="O98" i="3" s="1"/>
  <c r="M97" i="3"/>
  <c r="O97" i="3" s="1"/>
  <c r="M96" i="3"/>
  <c r="O96" i="3" s="1"/>
  <c r="M95" i="3"/>
  <c r="O95" i="3" s="1"/>
  <c r="M94" i="3"/>
  <c r="O94" i="3" s="1"/>
  <c r="O93" i="3"/>
  <c r="M92" i="3"/>
  <c r="O92" i="3" s="1"/>
  <c r="M91" i="3"/>
  <c r="O91" i="3" s="1"/>
  <c r="M90" i="3"/>
  <c r="O90" i="3" s="1"/>
  <c r="M89" i="3"/>
  <c r="O89" i="3" s="1"/>
  <c r="M88" i="3"/>
  <c r="O88" i="3" s="1"/>
  <c r="M87" i="3"/>
  <c r="O87" i="3" s="1"/>
  <c r="M84" i="3"/>
  <c r="O84" i="3" s="1"/>
  <c r="M83" i="3"/>
  <c r="O83" i="3" s="1"/>
  <c r="M82" i="3"/>
  <c r="O82" i="3" s="1"/>
  <c r="M81" i="3"/>
  <c r="O81" i="3" s="1"/>
  <c r="M80" i="3"/>
  <c r="O80" i="3" s="1"/>
  <c r="M79" i="3"/>
  <c r="O79" i="3" s="1"/>
  <c r="M78" i="3"/>
  <c r="O78" i="3" s="1"/>
  <c r="M77" i="3"/>
  <c r="O77" i="3" s="1"/>
  <c r="M76" i="3"/>
  <c r="O76" i="3" s="1"/>
  <c r="M75" i="3"/>
  <c r="O75" i="3" s="1"/>
  <c r="M74" i="3"/>
  <c r="O74" i="3" s="1"/>
  <c r="M73" i="3"/>
  <c r="O73" i="3" s="1"/>
  <c r="M72" i="3"/>
  <c r="O72" i="3" s="1"/>
  <c r="O71" i="3"/>
  <c r="M70" i="3"/>
  <c r="O70" i="3" s="1"/>
  <c r="M69" i="3"/>
  <c r="O69" i="3" s="1"/>
  <c r="M68" i="3"/>
  <c r="O68" i="3" s="1"/>
  <c r="M58" i="3"/>
  <c r="M56" i="3"/>
  <c r="M55" i="3"/>
  <c r="M54" i="3"/>
  <c r="M53" i="3"/>
  <c r="M52" i="3"/>
  <c r="M51" i="3"/>
  <c r="M50" i="3"/>
  <c r="M49" i="3"/>
  <c r="M48" i="3"/>
  <c r="M47" i="3"/>
  <c r="M46" i="3"/>
  <c r="M45" i="3"/>
  <c r="M44" i="3"/>
  <c r="M43" i="3"/>
  <c r="M42" i="3"/>
  <c r="M41" i="3"/>
  <c r="M40" i="3"/>
  <c r="M39" i="3"/>
  <c r="D9" i="3"/>
  <c r="D8" i="3"/>
  <c r="D7" i="3"/>
  <c r="A3" i="3"/>
  <c r="O14" i="6" l="1"/>
  <c r="O15" i="6"/>
  <c r="O16" i="6"/>
  <c r="O17" i="6"/>
  <c r="O21" i="4"/>
  <c r="O22" i="4"/>
  <c r="O23" i="4"/>
  <c r="O86" i="5"/>
  <c r="B58" i="5" s="1"/>
  <c r="O67" i="5"/>
  <c r="B56" i="5" s="1"/>
  <c r="O14" i="5"/>
  <c r="O15" i="5"/>
  <c r="O16" i="5"/>
  <c r="O17" i="5"/>
  <c r="O87" i="4"/>
  <c r="O68" i="4"/>
  <c r="B56" i="4" s="1"/>
  <c r="O21" i="3"/>
  <c r="O24" i="3"/>
  <c r="O20" i="3"/>
  <c r="O14" i="3"/>
  <c r="O25" i="3"/>
  <c r="O23" i="3"/>
  <c r="O22" i="3"/>
  <c r="O15" i="4"/>
  <c r="O17" i="4"/>
  <c r="O18" i="4"/>
  <c r="O86" i="3"/>
  <c r="B58" i="3" s="1"/>
  <c r="O14" i="4"/>
  <c r="O16" i="4"/>
  <c r="O19" i="4"/>
  <c r="O67" i="3"/>
  <c r="B56" i="3" s="1"/>
  <c r="O26" i="6" l="1"/>
  <c r="O26" i="5"/>
  <c r="O26" i="3"/>
  <c r="O26" i="4"/>
</calcChain>
</file>

<file path=xl/sharedStrings.xml><?xml version="1.0" encoding="utf-8"?>
<sst xmlns="http://schemas.openxmlformats.org/spreadsheetml/2006/main" count="365" uniqueCount="132">
  <si>
    <t>GAS_MOLE_PCT</t>
  </si>
  <si>
    <t>Project:</t>
  </si>
  <si>
    <t>Subject:</t>
  </si>
  <si>
    <t>Tag No.</t>
  </si>
  <si>
    <t>Ref. drawing</t>
  </si>
  <si>
    <t>Equipment</t>
  </si>
  <si>
    <t>PURE COMPONENTS</t>
  </si>
  <si>
    <t>Calculation set-up:</t>
  </si>
  <si>
    <t>Gas Relief</t>
  </si>
  <si>
    <t>Input parameters:</t>
  </si>
  <si>
    <t>ΔP : Lead pipe</t>
  </si>
  <si>
    <t xml:space="preserve"> [bar]</t>
  </si>
  <si>
    <t xml:space="preserve"> (°C)</t>
  </si>
  <si>
    <t>N/A</t>
  </si>
  <si>
    <t>Critical flow</t>
  </si>
  <si>
    <t>V</t>
  </si>
  <si>
    <t>Input</t>
  </si>
  <si>
    <t>Balanced Bellows</t>
  </si>
  <si>
    <t>No</t>
  </si>
  <si>
    <t>G</t>
  </si>
  <si>
    <t>Output</t>
  </si>
  <si>
    <t>Interpreter_Win</t>
  </si>
  <si>
    <t>python</t>
  </si>
  <si>
    <t>Interpreter_Mac</t>
  </si>
  <si>
    <t>PYTHONPATH</t>
  </si>
  <si>
    <t>&lt;--- Enter module location if no package installed</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</si>
  <si>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</si>
  <si>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</si>
  <si>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</si>
  <si>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</si>
  <si>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</si>
  <si>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</si>
  <si>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</si>
  <si>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</si>
  <si>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</si>
  <si>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</si>
  <si>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</si>
  <si>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Nozzle model</t>
  </si>
  <si>
    <t>Stagnation temperature</t>
  </si>
  <si>
    <t>Stagnation pressure</t>
  </si>
  <si>
    <t>Leak diameter</t>
  </si>
  <si>
    <t>(mm)</t>
  </si>
  <si>
    <t>(bar)</t>
  </si>
  <si>
    <t>Ambient temperature</t>
  </si>
  <si>
    <t>Ambient pressure</t>
  </si>
  <si>
    <t>Calculation performed using HYRAM+ models</t>
  </si>
  <si>
    <t>Realease fluid</t>
  </si>
  <si>
    <t>H2</t>
  </si>
  <si>
    <t>N2</t>
  </si>
  <si>
    <t>CH4</t>
  </si>
  <si>
    <t>C3H8</t>
  </si>
  <si>
    <t>C2H6</t>
  </si>
  <si>
    <t>n-Butane</t>
  </si>
  <si>
    <t>IsoButane</t>
  </si>
  <si>
    <t>n-Pentane</t>
  </si>
  <si>
    <t>IsoPentane</t>
  </si>
  <si>
    <t>n-Heaxane</t>
  </si>
  <si>
    <t>CarbonDioxide</t>
  </si>
  <si>
    <t>CarbonMonoxide</t>
  </si>
  <si>
    <t>mixture</t>
  </si>
  <si>
    <r>
      <t>Realease angle (0</t>
    </r>
    <r>
      <rPr>
        <sz val="8"/>
        <rFont val="Aptos Narrow"/>
        <family val="2"/>
      </rPr>
      <t>°</t>
    </r>
    <r>
      <rPr>
        <sz val="8"/>
        <rFont val="Arial"/>
        <family val="2"/>
      </rPr>
      <t xml:space="preserve"> = horizontal)</t>
    </r>
  </si>
  <si>
    <r>
      <t>(</t>
    </r>
    <r>
      <rPr>
        <sz val="8"/>
        <rFont val="Aptos Narrow"/>
        <family val="2"/>
      </rPr>
      <t>°</t>
    </r>
    <r>
      <rPr>
        <sz val="8"/>
        <rFont val="Arial"/>
        <family val="2"/>
      </rPr>
      <t>)</t>
    </r>
  </si>
  <si>
    <t>Ambient humidity</t>
  </si>
  <si>
    <t>YuceilOtugen</t>
  </si>
  <si>
    <t>EwanMoodie</t>
  </si>
  <si>
    <t>Birch</t>
  </si>
  <si>
    <t>Birch2</t>
  </si>
  <si>
    <t>Molkov</t>
  </si>
  <si>
    <t>Discharge coefficient (Cd)</t>
  </si>
  <si>
    <t>(--)</t>
  </si>
  <si>
    <t>Results</t>
  </si>
  <si>
    <t>Mass flow</t>
  </si>
  <si>
    <t>Stremline length</t>
  </si>
  <si>
    <t>Min. horizontal distance</t>
  </si>
  <si>
    <t>Max. horisontal distance</t>
  </si>
  <si>
    <t>Min. vertical disance</t>
  </si>
  <si>
    <t>Max. vertical distance</t>
  </si>
  <si>
    <t>(kg/s)</t>
  </si>
  <si>
    <t>(m)</t>
  </si>
  <si>
    <t>Mole frac</t>
  </si>
  <si>
    <t>Mole percentage</t>
  </si>
  <si>
    <t>SUM</t>
  </si>
  <si>
    <t>LFL (mole fraction)</t>
  </si>
  <si>
    <t>Jet Plume</t>
  </si>
  <si>
    <t>Jet Flame</t>
  </si>
  <si>
    <t>Wind speed</t>
  </si>
  <si>
    <t xml:space="preserve">x-position for flux </t>
  </si>
  <si>
    <t>y-positition for flux</t>
  </si>
  <si>
    <t>z-position for flux</t>
  </si>
  <si>
    <t>(m/s)</t>
  </si>
  <si>
    <t>(rel.)</t>
  </si>
  <si>
    <t>Positional flux</t>
  </si>
  <si>
    <t>(W/m2)</t>
  </si>
  <si>
    <t>Total radiative power</t>
  </si>
  <si>
    <t>Visible length</t>
  </si>
  <si>
    <t>Radiant fraction</t>
  </si>
  <si>
    <t>(kW)</t>
  </si>
  <si>
    <t>Calculation method</t>
  </si>
  <si>
    <t>Mach flame speed (BST only)</t>
  </si>
  <si>
    <t>BST</t>
  </si>
  <si>
    <t>TNT</t>
  </si>
  <si>
    <t>Bauwens</t>
  </si>
  <si>
    <t>Positional overpressure</t>
  </si>
  <si>
    <t>Positional impulse</t>
  </si>
  <si>
    <t>(kg)</t>
  </si>
  <si>
    <t>(kPa)</t>
  </si>
  <si>
    <t>Unconfined overpressure</t>
  </si>
  <si>
    <t>x-position</t>
  </si>
  <si>
    <t>y-position</t>
  </si>
  <si>
    <t>z-position</t>
  </si>
  <si>
    <t>(kPa s)</t>
  </si>
  <si>
    <t>Det./Flammable mass</t>
  </si>
  <si>
    <t xml:space="preserve">Release height </t>
  </si>
  <si>
    <t>(m3)</t>
  </si>
  <si>
    <t>NO</t>
  </si>
  <si>
    <t>YES</t>
  </si>
  <si>
    <t xml:space="preserve">Include blowdown? </t>
  </si>
  <si>
    <t>Tank volume (blowdown)</t>
  </si>
  <si>
    <t>Enclosure height</t>
  </si>
  <si>
    <t>Floor/ceil area</t>
  </si>
  <si>
    <t>Distance from release to wall</t>
  </si>
  <si>
    <t>Ceiling vent area</t>
  </si>
  <si>
    <t>Ceiling vent height</t>
  </si>
  <si>
    <t>Floor vent area</t>
  </si>
  <si>
    <t>Floor vent height</t>
  </si>
  <si>
    <t>x-position release</t>
  </si>
  <si>
    <t>y-position release</t>
  </si>
  <si>
    <t>(m2)</t>
  </si>
  <si>
    <t xml:space="preserve">Vent rate </t>
  </si>
  <si>
    <t>(m3/s)</t>
  </si>
  <si>
    <t xml:space="preserve">Simulation time </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</si>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</sst>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0"/>
    <numFmt numFmtId="165" formatCode="0.000"/>
    <numFmt numFmtId="166" formatCode="0.0000"/>
    <numFmt numFmtId="167" formatCode="0.0"/>
    <numFmt numFmtId="168" formatCode="0.00000"/>
    <numFmt numFmtId="169" formatCode="#,##0.0"/>
  </numFmts>
  <fonts count="20" x14ac:knownFonts="1">
    <font>
      <sz val="10"/>
      <name val="Arial"/>
      <family val="2"/>
    </font>
    <font>
      <sz val="10"/>
      <color rgb="FF000000"/>
      <name val="Arial"/>
      <family val="2"/>
    </font>
    <font>
      <sz val="10"/>
      <name val="Arial"/>
      <family val="2"/>
    </font>
    <font>
      <b/>
      <sz val="8"/>
      <name val="Arial"/>
      <family val="2"/>
    </font>
    <font>
      <b/>
      <sz val="8"/>
      <color indexed="9"/>
      <name val="Arial"/>
      <family val="2"/>
    </font>
    <font>
      <sz val="8"/>
      <name val="Arial"/>
      <family val="2"/>
    </font>
    <font>
      <sz val="10"/>
      <name val="Helv"/>
    </font>
    <font>
      <b/>
      <sz val="10"/>
      <name val="Arial"/>
      <family val="2"/>
    </font>
    <font>
      <sz val="9"/>
      <name val="Arial"/>
      <family val="2"/>
    </font>
    <font>
      <b/>
      <u/>
      <sz val="8"/>
      <name val="Arial"/>
      <family val="2"/>
    </font>
    <font>
      <b/>
      <sz val="8"/>
      <color indexed="10"/>
      <name val="Arial"/>
      <family val="2"/>
    </font>
    <font>
      <b/>
      <sz val="8"/>
      <color indexed="56"/>
      <name val="Arial"/>
      <family val="2"/>
    </font>
    <font>
      <sz val="8"/>
      <color indexed="56"/>
      <name val="Arial"/>
      <family val="2"/>
    </font>
    <font>
      <sz val="8"/>
      <color indexed="10"/>
      <name val="Arial"/>
      <family val="2"/>
    </font>
    <font>
      <sz val="6"/>
      <name val="Arial"/>
      <family val="2"/>
    </font>
    <font>
      <b/>
      <i/>
      <sz val="8"/>
      <name val="Arial"/>
      <family val="2"/>
    </font>
    <font>
      <sz val="8"/>
      <name val="Verdana"/>
      <family val="2"/>
    </font>
    <font>
      <sz val="12"/>
      <color theme="1"/>
      <name val="Aptos Narrow"/>
      <family val="2"/>
      <scheme val="minor"/>
    </font>
    <font>
      <b/>
      <sz val="12"/>
      <color theme="1"/>
      <name val="Aptos Narrow"/>
      <family val="2"/>
      <scheme val="minor"/>
    </font>
    <font>
      <sz val="8"/>
      <name val="Aptos Narrow"/>
      <family val="2"/>
    </font>
  </fonts>
  <fills count="5">
    <fill>
      <patternFill patternType="none"/>
    </fill>
    <fill>
      <patternFill patternType="gray125"/>
    </fill>
    <fill>
      <patternFill patternType="solid">
        <fgColor rgb="FFFFFFCC"/>
        <bgColor indexed="64"/>
      </patternFill>
    </fill>
    <fill>
      <patternFill patternType="solid">
        <fgColor rgb="FFCCECFF"/>
        <bgColor indexed="64"/>
      </patternFill>
    </fill>
    <fill>
      <patternFill patternType="solid">
        <fgColor theme="0"/>
        <bgColor indexed="64"/>
      </patternFill>
    </fill>
  </fills>
  <borders count="1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6" fillId="0" borderId="0"/>
    <xf numFmtId="0" fontId="6" fillId="0" borderId="0"/>
    <xf numFmtId="0" fontId="17" fillId="0" borderId="0"/>
  </cellStyleXfs>
  <cellXfs count="196">
    <xf numFmtId="0" fontId="0" fillId="0" borderId="0" xfId="0"/>
    <xf numFmtId="0" fontId="3" fillId="0" borderId="1" xfId="0" applyFont="1" applyBorder="1" applyAlignment="1">
      <alignment horizontal="center"/>
    </xf>
    <xf numFmtId="0" fontId="4" fillId="0" borderId="2"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1" applyFont="1" applyAlignment="1">
      <alignment vertical="center"/>
    </xf>
    <xf numFmtId="0" fontId="2" fillId="0" borderId="0" xfId="1" applyFont="1" applyAlignment="1" applyProtection="1">
      <alignment vertical="center"/>
      <protection locked="0"/>
    </xf>
    <xf numFmtId="0" fontId="5" fillId="0" borderId="4" xfId="1" applyFont="1" applyBorder="1" applyAlignment="1">
      <alignment horizontal="left" vertical="center"/>
    </xf>
    <xf numFmtId="0" fontId="5" fillId="0" borderId="5" xfId="1" applyFont="1" applyBorder="1" applyAlignment="1">
      <alignment vertical="center"/>
    </xf>
    <xf numFmtId="0" fontId="3" fillId="0" borderId="5" xfId="1" applyFont="1" applyBorder="1" applyAlignment="1" applyProtection="1">
      <alignment vertical="center"/>
      <protection locked="0"/>
    </xf>
    <xf numFmtId="0" fontId="5" fillId="0" borderId="5" xfId="1" applyFont="1" applyBorder="1" applyAlignment="1" applyProtection="1">
      <alignment vertical="center"/>
      <protection locked="0"/>
    </xf>
    <xf numFmtId="0" fontId="5" fillId="0" borderId="5" xfId="1" applyFont="1" applyBorder="1" applyAlignment="1" applyProtection="1">
      <alignment horizontal="center" vertical="center"/>
      <protection locked="0"/>
    </xf>
    <xf numFmtId="1" fontId="2" fillId="0" borderId="5" xfId="1" applyNumberFormat="1" applyFont="1" applyBorder="1" applyAlignment="1" applyProtection="1">
      <alignment horizontal="center" vertical="center"/>
      <protection locked="0"/>
    </xf>
    <xf numFmtId="164" fontId="2" fillId="0" borderId="5" xfId="1" applyNumberFormat="1" applyFont="1" applyBorder="1" applyAlignment="1" applyProtection="1">
      <alignment horizontal="center" vertical="center"/>
      <protection locked="0"/>
    </xf>
    <xf numFmtId="1" fontId="2" fillId="0" borderId="6" xfId="1" applyNumberFormat="1" applyFont="1" applyBorder="1" applyAlignment="1" applyProtection="1">
      <alignment horizontal="center" vertical="center"/>
      <protection locked="0"/>
    </xf>
    <xf numFmtId="0" fontId="5" fillId="0" borderId="0" xfId="1" applyFont="1" applyAlignment="1">
      <alignment vertical="center"/>
    </xf>
    <xf numFmtId="0" fontId="3" fillId="0" borderId="0" xfId="0" applyFont="1"/>
    <xf numFmtId="0" fontId="5" fillId="0" borderId="0" xfId="1" applyFont="1" applyAlignment="1" applyProtection="1">
      <alignment vertical="center"/>
      <protection locked="0"/>
    </xf>
    <xf numFmtId="1" fontId="2" fillId="0" borderId="8" xfId="1" applyNumberFormat="1" applyFont="1" applyBorder="1" applyAlignment="1" applyProtection="1">
      <alignment horizontal="center" vertical="center"/>
      <protection locked="0"/>
    </xf>
    <xf numFmtId="1" fontId="2" fillId="0" borderId="9" xfId="1" applyNumberFormat="1" applyFont="1" applyBorder="1" applyAlignment="1" applyProtection="1">
      <alignment horizontal="center" vertical="center"/>
      <protection locked="0"/>
    </xf>
    <xf numFmtId="0" fontId="2" fillId="0" borderId="10" xfId="1" applyFont="1" applyBorder="1" applyAlignment="1" applyProtection="1">
      <alignment vertical="center"/>
      <protection locked="0"/>
    </xf>
    <xf numFmtId="0" fontId="7" fillId="0" borderId="7" xfId="1" applyFont="1" applyBorder="1" applyAlignment="1">
      <alignment horizontal="left" vertical="center"/>
    </xf>
    <xf numFmtId="0" fontId="2" fillId="0" borderId="8" xfId="1" applyFont="1" applyBorder="1" applyAlignment="1">
      <alignment vertical="center"/>
    </xf>
    <xf numFmtId="0" fontId="7" fillId="0" borderId="8" xfId="1" applyFont="1" applyBorder="1" applyAlignment="1">
      <alignment vertical="center"/>
    </xf>
    <xf numFmtId="0" fontId="2" fillId="0" borderId="9" xfId="1" applyFont="1" applyBorder="1" applyAlignment="1">
      <alignment vertical="center"/>
    </xf>
    <xf numFmtId="0" fontId="5" fillId="0" borderId="11" xfId="1" applyFont="1" applyBorder="1" applyAlignment="1">
      <alignment horizontal="center" vertical="center"/>
    </xf>
    <xf numFmtId="0" fontId="5" fillId="0" borderId="0" xfId="1" applyFont="1" applyAlignment="1">
      <alignment horizontal="right" vertical="center"/>
    </xf>
    <xf numFmtId="0" fontId="5" fillId="0" borderId="10" xfId="1" applyFont="1" applyBorder="1" applyAlignment="1">
      <alignment vertical="center"/>
    </xf>
    <xf numFmtId="0" fontId="8" fillId="0" borderId="0" xfId="1" applyFont="1" applyAlignment="1">
      <alignment vertical="center"/>
    </xf>
    <xf numFmtId="165" fontId="5" fillId="0" borderId="0" xfId="0" applyNumberFormat="1" applyFont="1"/>
    <xf numFmtId="11" fontId="5" fillId="0" borderId="0" xfId="0" applyNumberFormat="1" applyFont="1"/>
    <xf numFmtId="0" fontId="8" fillId="0" borderId="0" xfId="1" applyFont="1" applyAlignment="1" applyProtection="1">
      <alignment vertical="center"/>
      <protection locked="0"/>
    </xf>
    <xf numFmtId="0" fontId="3" fillId="0" borderId="0" xfId="1" quotePrefix="1" applyFont="1" applyAlignment="1">
      <alignment horizontal="left" vertical="center"/>
    </xf>
    <xf numFmtId="0" fontId="3" fillId="0" borderId="0" xfId="1" applyFont="1" applyAlignment="1">
      <alignment vertical="center"/>
    </xf>
    <xf numFmtId="0" fontId="3" fillId="0" borderId="1" xfId="1" applyFont="1" applyBorder="1" applyAlignment="1">
      <alignment vertical="center"/>
    </xf>
    <xf numFmtId="0" fontId="5" fillId="0" borderId="2" xfId="1" applyFont="1" applyBorder="1" applyAlignment="1" applyProtection="1">
      <alignment vertical="center"/>
      <protection locked="0"/>
    </xf>
    <xf numFmtId="0" fontId="5" fillId="0" borderId="2" xfId="1" applyFont="1" applyBorder="1" applyAlignment="1">
      <alignment vertical="center"/>
    </xf>
    <xf numFmtId="0" fontId="5" fillId="0" borderId="3" xfId="1" applyFont="1" applyBorder="1" applyAlignment="1" applyProtection="1">
      <alignment vertical="center"/>
      <protection locked="0"/>
    </xf>
    <xf numFmtId="0" fontId="3" fillId="0" borderId="7" xfId="1" applyFont="1" applyBorder="1" applyAlignment="1">
      <alignment vertical="center"/>
    </xf>
    <xf numFmtId="0" fontId="5" fillId="0" borderId="3" xfId="1" applyFont="1" applyBorder="1" applyAlignment="1">
      <alignment vertical="center"/>
    </xf>
    <xf numFmtId="0" fontId="5" fillId="0" borderId="7" xfId="1" applyFont="1" applyBorder="1" applyAlignment="1">
      <alignment horizontal="center" vertical="center"/>
    </xf>
    <xf numFmtId="0" fontId="5" fillId="0" borderId="8" xfId="1" applyFont="1" applyBorder="1" applyAlignment="1">
      <alignment vertical="center"/>
    </xf>
    <xf numFmtId="0" fontId="5" fillId="0" borderId="9" xfId="1" applyFont="1" applyBorder="1" applyAlignment="1">
      <alignment vertical="center"/>
    </xf>
    <xf numFmtId="0" fontId="5" fillId="0" borderId="4" xfId="1" applyFont="1" applyBorder="1" applyAlignment="1">
      <alignment horizontal="center" vertical="center"/>
    </xf>
    <xf numFmtId="0" fontId="5" fillId="0" borderId="6" xfId="1" applyFont="1" applyBorder="1" applyAlignment="1">
      <alignment vertical="center"/>
    </xf>
    <xf numFmtId="0" fontId="3" fillId="0" borderId="12" xfId="0" applyFont="1" applyBorder="1" applyAlignment="1">
      <alignment horizontal="center"/>
    </xf>
    <xf numFmtId="0" fontId="5" fillId="0" borderId="0" xfId="1" applyFont="1" applyAlignment="1">
      <alignment vertical="center" wrapText="1"/>
    </xf>
    <xf numFmtId="0" fontId="3" fillId="0" borderId="1" xfId="0" applyFont="1" applyBorder="1" applyAlignment="1">
      <alignment wrapText="1"/>
    </xf>
    <xf numFmtId="0" fontId="3" fillId="0" borderId="12" xfId="0" applyFont="1" applyBorder="1"/>
    <xf numFmtId="0" fontId="3" fillId="0" borderId="1" xfId="0" applyFont="1" applyBorder="1" applyAlignment="1">
      <alignment vertical="top"/>
    </xf>
    <xf numFmtId="0" fontId="3" fillId="0" borderId="12" xfId="0" applyFont="1" applyBorder="1" applyAlignment="1">
      <alignment vertical="top"/>
    </xf>
    <xf numFmtId="0" fontId="5" fillId="2" borderId="13" xfId="1" applyFont="1" applyFill="1" applyBorder="1" applyAlignment="1" applyProtection="1">
      <alignment vertical="center"/>
      <protection locked="0"/>
    </xf>
    <xf numFmtId="166" fontId="5" fillId="0" borderId="0" xfId="0" applyNumberFormat="1" applyFont="1"/>
    <xf numFmtId="0" fontId="5" fillId="0" borderId="0" xfId="0" applyFont="1" applyProtection="1">
      <protection locked="0"/>
    </xf>
    <xf numFmtId="0" fontId="5" fillId="2" borderId="14" xfId="1" applyFont="1" applyFill="1" applyBorder="1" applyAlignment="1" applyProtection="1">
      <alignment vertical="center"/>
      <protection locked="0"/>
    </xf>
    <xf numFmtId="0" fontId="5" fillId="0" borderId="0" xfId="1" applyFont="1" applyAlignment="1">
      <alignment horizontal="left" vertical="center"/>
    </xf>
    <xf numFmtId="167" fontId="5" fillId="0" borderId="0" xfId="1" applyNumberFormat="1" applyFont="1" applyAlignment="1">
      <alignment vertical="center"/>
    </xf>
    <xf numFmtId="0" fontId="3" fillId="0" borderId="0" xfId="1" applyFont="1" applyAlignment="1">
      <alignment horizontal="left" vertical="center"/>
    </xf>
    <xf numFmtId="167" fontId="5" fillId="2" borderId="12" xfId="1" applyNumberFormat="1" applyFont="1" applyFill="1" applyBorder="1" applyAlignment="1" applyProtection="1">
      <alignment horizontal="right" vertical="center"/>
      <protection locked="0"/>
    </xf>
    <xf numFmtId="0" fontId="5" fillId="0" borderId="0" xfId="1" applyFont="1" applyAlignment="1">
      <alignment horizontal="center" vertical="center"/>
    </xf>
    <xf numFmtId="0" fontId="5" fillId="0" borderId="10" xfId="1" applyFont="1" applyBorder="1" applyAlignment="1">
      <alignment horizontal="left" vertical="center"/>
    </xf>
    <xf numFmtId="0" fontId="3" fillId="0" borderId="0" xfId="0" applyFont="1" applyAlignment="1">
      <alignment vertical="top" wrapText="1"/>
    </xf>
    <xf numFmtId="1" fontId="5" fillId="0" borderId="0" xfId="1" applyNumberFormat="1" applyFont="1" applyAlignment="1">
      <alignment vertical="center"/>
    </xf>
    <xf numFmtId="166" fontId="5" fillId="0" borderId="0" xfId="0" quotePrefix="1" applyNumberFormat="1" applyFont="1"/>
    <xf numFmtId="167" fontId="5" fillId="0" borderId="0" xfId="1" applyNumberFormat="1" applyFont="1" applyAlignment="1" applyProtection="1">
      <alignment vertical="center"/>
      <protection locked="0"/>
    </xf>
    <xf numFmtId="0" fontId="5" fillId="0" borderId="0" xfId="1" applyFont="1" applyAlignment="1" applyProtection="1">
      <alignment horizontal="right" vertical="center"/>
      <protection locked="0"/>
    </xf>
    <xf numFmtId="0" fontId="9" fillId="0" borderId="0" xfId="1" applyFont="1" applyAlignment="1">
      <alignment horizontal="left" vertical="center"/>
    </xf>
    <xf numFmtId="0" fontId="5" fillId="0" borderId="0" xfId="1" quotePrefix="1" applyFont="1" applyAlignment="1">
      <alignment horizontal="left" vertical="center"/>
    </xf>
    <xf numFmtId="0" fontId="5" fillId="0" borderId="11" xfId="1" applyFont="1" applyBorder="1" applyAlignment="1">
      <alignment vertical="center"/>
    </xf>
    <xf numFmtId="167" fontId="5" fillId="2" borderId="12" xfId="1" applyNumberFormat="1" applyFont="1" applyFill="1" applyBorder="1" applyAlignment="1" applyProtection="1">
      <alignment vertical="center"/>
      <protection locked="0"/>
    </xf>
    <xf numFmtId="165" fontId="5" fillId="0" borderId="0" xfId="1" applyNumberFormat="1" applyFont="1" applyAlignment="1">
      <alignment vertical="center"/>
    </xf>
    <xf numFmtId="165" fontId="5" fillId="3" borderId="12" xfId="1" applyNumberFormat="1" applyFont="1" applyFill="1" applyBorder="1" applyAlignment="1" applyProtection="1">
      <alignment horizontal="right" vertical="center"/>
      <protection locked="0"/>
    </xf>
    <xf numFmtId="165" fontId="5" fillId="0" borderId="0" xfId="1" applyNumberFormat="1" applyFont="1" applyAlignment="1" applyProtection="1">
      <alignment vertical="center"/>
      <protection locked="0"/>
    </xf>
    <xf numFmtId="0" fontId="5" fillId="0" borderId="0" xfId="1" quotePrefix="1" applyFont="1" applyAlignment="1">
      <alignment vertical="center"/>
    </xf>
    <xf numFmtId="166" fontId="5" fillId="0" borderId="0" xfId="1" applyNumberFormat="1" applyFont="1" applyAlignment="1">
      <alignment vertical="center"/>
    </xf>
    <xf numFmtId="0" fontId="5" fillId="0" borderId="0" xfId="1" quotePrefix="1" applyFont="1" applyAlignment="1">
      <alignment horizontal="center" vertical="center"/>
    </xf>
    <xf numFmtId="2" fontId="5" fillId="0" borderId="0" xfId="1" applyNumberFormat="1" applyFont="1" applyAlignment="1">
      <alignment vertical="center"/>
    </xf>
    <xf numFmtId="1" fontId="5" fillId="0" borderId="0" xfId="1" applyNumberFormat="1" applyFont="1" applyAlignment="1">
      <alignment horizontal="right" vertical="center"/>
    </xf>
    <xf numFmtId="165" fontId="5" fillId="0" borderId="0" xfId="1" applyNumberFormat="1" applyFont="1" applyAlignment="1">
      <alignment horizontal="left" vertical="center"/>
    </xf>
    <xf numFmtId="2" fontId="3" fillId="0" borderId="0" xfId="0" applyNumberFormat="1" applyFont="1"/>
    <xf numFmtId="165" fontId="5" fillId="0" borderId="0" xfId="1" applyNumberFormat="1" applyFont="1" applyAlignment="1">
      <alignment horizontal="right" vertical="center"/>
    </xf>
    <xf numFmtId="0" fontId="11" fillId="0" borderId="0" xfId="1" applyFont="1" applyAlignment="1">
      <alignment vertical="center" wrapText="1"/>
    </xf>
    <xf numFmtId="0" fontId="12" fillId="0" borderId="0" xfId="1" applyFont="1" applyAlignment="1">
      <alignment vertical="center" wrapText="1"/>
    </xf>
    <xf numFmtId="0" fontId="13" fillId="0" borderId="0" xfId="1" applyFont="1" applyAlignment="1">
      <alignment vertical="center"/>
    </xf>
    <xf numFmtId="0" fontId="5" fillId="0" borderId="8" xfId="1" applyFont="1" applyBorder="1" applyAlignment="1" applyProtection="1">
      <alignment vertical="center"/>
      <protection locked="0"/>
    </xf>
    <xf numFmtId="0" fontId="10" fillId="0" borderId="0" xfId="1" applyFont="1" applyAlignment="1">
      <alignment vertical="center"/>
    </xf>
    <xf numFmtId="0" fontId="14" fillId="0" borderId="0" xfId="1" applyFont="1" applyAlignment="1">
      <alignment horizontal="left" vertical="center"/>
    </xf>
    <xf numFmtId="0" fontId="14" fillId="0" borderId="0" xfId="1" applyFont="1" applyAlignment="1" applyProtection="1">
      <alignment vertical="center"/>
      <protection locked="0"/>
    </xf>
    <xf numFmtId="0" fontId="5" fillId="0" borderId="11" xfId="2" applyFont="1" applyBorder="1" applyAlignment="1">
      <alignment horizontal="center" vertical="center"/>
    </xf>
    <xf numFmtId="0" fontId="5" fillId="0" borderId="0" xfId="2" applyFont="1" applyAlignment="1">
      <alignment vertical="center"/>
    </xf>
    <xf numFmtId="0" fontId="5" fillId="0" borderId="10" xfId="2" applyFont="1" applyBorder="1" applyAlignment="1">
      <alignment vertical="center"/>
    </xf>
    <xf numFmtId="0" fontId="14" fillId="0" borderId="0" xfId="1" applyFont="1" applyAlignment="1">
      <alignment vertical="center"/>
    </xf>
    <xf numFmtId="0" fontId="5" fillId="0" borderId="0" xfId="2" applyFont="1" applyAlignment="1" applyProtection="1">
      <alignment vertical="center"/>
      <protection locked="0"/>
    </xf>
    <xf numFmtId="0" fontId="15" fillId="0" borderId="0" xfId="2" applyFont="1" applyAlignment="1" applyProtection="1">
      <alignment vertical="center"/>
      <protection locked="0"/>
    </xf>
    <xf numFmtId="0" fontId="3" fillId="0" borderId="0" xfId="2" applyFont="1" applyAlignment="1">
      <alignment vertical="center"/>
    </xf>
    <xf numFmtId="0" fontId="16" fillId="0" borderId="0" xfId="1" applyFont="1" applyAlignment="1">
      <alignment vertical="center"/>
    </xf>
    <xf numFmtId="0" fontId="5" fillId="0" borderId="11" xfId="2" applyFont="1" applyBorder="1" applyAlignment="1" applyProtection="1">
      <alignment horizontal="center" vertical="center"/>
      <protection locked="0"/>
    </xf>
    <xf numFmtId="167" fontId="5" fillId="0" borderId="0" xfId="2" applyNumberFormat="1" applyFont="1" applyAlignment="1" applyProtection="1">
      <alignment vertical="center"/>
      <protection locked="0"/>
    </xf>
    <xf numFmtId="0" fontId="5" fillId="0" borderId="10" xfId="2" applyFont="1" applyBorder="1" applyAlignment="1" applyProtection="1">
      <alignment vertical="center"/>
      <protection locked="0"/>
    </xf>
    <xf numFmtId="168" fontId="5" fillId="0" borderId="0" xfId="2" quotePrefix="1" applyNumberFormat="1" applyFont="1" applyAlignment="1" applyProtection="1">
      <alignment horizontal="right" vertical="center"/>
      <protection locked="0"/>
    </xf>
    <xf numFmtId="168" fontId="5" fillId="0" borderId="0" xfId="1" quotePrefix="1" applyNumberFormat="1" applyFont="1" applyAlignment="1" applyProtection="1">
      <alignment horizontal="right" vertical="center"/>
      <protection locked="0"/>
    </xf>
    <xf numFmtId="0" fontId="5" fillId="0" borderId="0" xfId="0" applyFont="1" applyAlignment="1">
      <alignment horizontal="right"/>
    </xf>
    <xf numFmtId="165" fontId="5" fillId="0" borderId="0" xfId="2" quotePrefix="1" applyNumberFormat="1" applyFont="1" applyAlignment="1" applyProtection="1">
      <alignment horizontal="right" vertical="center"/>
      <protection locked="0"/>
    </xf>
    <xf numFmtId="2" fontId="5" fillId="0" borderId="0" xfId="2" quotePrefix="1" applyNumberFormat="1" applyFont="1" applyAlignment="1" applyProtection="1">
      <alignment horizontal="right" vertical="center"/>
      <protection locked="0"/>
    </xf>
    <xf numFmtId="167" fontId="5" fillId="0" borderId="0" xfId="1" quotePrefix="1" applyNumberFormat="1" applyFont="1" applyAlignment="1" applyProtection="1">
      <alignment horizontal="right" vertical="center"/>
      <protection locked="0"/>
    </xf>
    <xf numFmtId="2" fontId="5" fillId="0" borderId="0" xfId="1" quotePrefix="1" applyNumberFormat="1" applyFont="1" applyAlignment="1" applyProtection="1">
      <alignment horizontal="right" vertical="center"/>
      <protection locked="0"/>
    </xf>
    <xf numFmtId="165" fontId="5" fillId="0" borderId="0" xfId="1" quotePrefix="1" applyNumberFormat="1" applyFont="1" applyAlignment="1" applyProtection="1">
      <alignment horizontal="right" vertical="center"/>
      <protection locked="0"/>
    </xf>
    <xf numFmtId="1" fontId="5" fillId="0" borderId="0" xfId="1" quotePrefix="1" applyNumberFormat="1" applyFont="1" applyAlignment="1" applyProtection="1">
      <alignment horizontal="right" vertical="center"/>
      <protection locked="0"/>
    </xf>
    <xf numFmtId="166" fontId="5" fillId="0" borderId="0" xfId="1" quotePrefix="1" applyNumberFormat="1" applyFont="1" applyAlignment="1" applyProtection="1">
      <alignment horizontal="right" vertical="center"/>
      <protection locked="0"/>
    </xf>
    <xf numFmtId="0" fontId="5" fillId="0" borderId="7" xfId="2" applyFont="1" applyBorder="1" applyAlignment="1">
      <alignment horizontal="center" vertical="center"/>
    </xf>
    <xf numFmtId="0" fontId="5" fillId="0" borderId="8" xfId="2" applyFont="1" applyBorder="1" applyAlignment="1">
      <alignment vertical="center"/>
    </xf>
    <xf numFmtId="0" fontId="5" fillId="0" borderId="8" xfId="2" applyFont="1" applyBorder="1" applyAlignment="1">
      <alignment horizontal="right" vertical="center"/>
    </xf>
    <xf numFmtId="0" fontId="5" fillId="0" borderId="9" xfId="2" applyFont="1" applyBorder="1" applyAlignment="1">
      <alignment vertical="center"/>
    </xf>
    <xf numFmtId="0" fontId="14" fillId="0" borderId="0" xfId="2" applyFont="1" applyAlignment="1">
      <alignment vertical="center"/>
    </xf>
    <xf numFmtId="0" fontId="14" fillId="0" borderId="0" xfId="2" applyFont="1" applyAlignment="1">
      <alignment horizontal="right" vertical="center"/>
    </xf>
    <xf numFmtId="0" fontId="8" fillId="0" borderId="0" xfId="1" applyFont="1" applyAlignment="1" applyProtection="1">
      <alignment horizontal="center" vertical="center"/>
      <protection locked="0"/>
    </xf>
    <xf numFmtId="0" fontId="8" fillId="0" borderId="0" xfId="1" applyFont="1" applyAlignment="1" applyProtection="1">
      <alignment horizontal="right" vertical="center"/>
      <protection locked="0"/>
    </xf>
    <xf numFmtId="0" fontId="2" fillId="0" borderId="0" xfId="1" applyFont="1" applyAlignment="1" applyProtection="1">
      <alignment horizontal="center" vertical="center"/>
      <protection locked="0"/>
    </xf>
    <xf numFmtId="0" fontId="2" fillId="0" borderId="0" xfId="1" applyFont="1" applyAlignment="1" applyProtection="1">
      <alignment horizontal="right" vertical="center"/>
      <protection locked="0"/>
    </xf>
    <xf numFmtId="0" fontId="17" fillId="0" borderId="0" xfId="3" applyAlignment="1">
      <alignment vertical="center"/>
    </xf>
    <xf numFmtId="0" fontId="2" fillId="0" borderId="0" xfId="0" quotePrefix="1" applyFont="1" applyAlignment="1">
      <alignment vertical="center"/>
    </xf>
    <xf numFmtId="0" fontId="18" fillId="0" borderId="0" xfId="3" applyFont="1" applyAlignment="1">
      <alignment vertical="center"/>
    </xf>
    <xf numFmtId="0" fontId="14" fillId="0" borderId="1" xfId="1" applyFont="1" applyBorder="1" applyAlignment="1">
      <alignment horizontal="left" vertical="center"/>
    </xf>
    <xf numFmtId="0" fontId="14" fillId="0" borderId="2" xfId="1" applyFont="1" applyBorder="1" applyAlignment="1" applyProtection="1">
      <alignment vertical="center"/>
      <protection locked="0"/>
    </xf>
    <xf numFmtId="0" fontId="14" fillId="0" borderId="2" xfId="1" applyFont="1" applyBorder="1" applyAlignment="1" applyProtection="1">
      <alignment horizontal="left" vertical="center"/>
      <protection locked="0"/>
    </xf>
    <xf numFmtId="0" fontId="14" fillId="0" borderId="3" xfId="1" applyFont="1" applyBorder="1" applyAlignment="1" applyProtection="1">
      <alignment vertical="center"/>
      <protection locked="0"/>
    </xf>
    <xf numFmtId="167" fontId="5" fillId="0" borderId="0" xfId="0" applyNumberFormat="1" applyFont="1" applyProtection="1">
      <protection locked="0"/>
    </xf>
    <xf numFmtId="1" fontId="5" fillId="2" borderId="12" xfId="1" applyNumberFormat="1" applyFont="1" applyFill="1" applyBorder="1" applyAlignment="1" applyProtection="1">
      <alignment vertical="center"/>
      <protection locked="0"/>
    </xf>
    <xf numFmtId="0" fontId="5" fillId="2" borderId="12" xfId="1" applyFont="1" applyFill="1" applyBorder="1" applyAlignment="1">
      <alignment vertical="center"/>
    </xf>
    <xf numFmtId="0" fontId="5" fillId="4" borderId="0" xfId="1" applyFont="1" applyFill="1" applyAlignment="1">
      <alignment vertical="center"/>
    </xf>
    <xf numFmtId="0" fontId="5" fillId="4" borderId="0" xfId="1" applyFont="1" applyFill="1" applyAlignment="1" applyProtection="1">
      <alignment vertical="center"/>
      <protection locked="0"/>
    </xf>
    <xf numFmtId="0" fontId="5" fillId="4" borderId="0" xfId="1" applyFont="1" applyFill="1" applyAlignment="1">
      <alignment horizontal="left" vertical="center"/>
    </xf>
    <xf numFmtId="0" fontId="5" fillId="4" borderId="0" xfId="1" quotePrefix="1" applyFont="1" applyFill="1" applyAlignment="1">
      <alignment horizontal="center" vertical="center"/>
    </xf>
    <xf numFmtId="0" fontId="3" fillId="4" borderId="0" xfId="1" applyFont="1" applyFill="1" applyAlignment="1">
      <alignment vertical="center"/>
    </xf>
    <xf numFmtId="2" fontId="5" fillId="4" borderId="0" xfId="1" applyNumberFormat="1" applyFont="1" applyFill="1" applyAlignment="1">
      <alignment vertical="center"/>
    </xf>
    <xf numFmtId="0" fontId="5" fillId="4" borderId="0" xfId="1" quotePrefix="1" applyFont="1" applyFill="1" applyAlignment="1">
      <alignment horizontal="left" vertical="center"/>
    </xf>
    <xf numFmtId="167" fontId="5" fillId="4" borderId="0" xfId="1" applyNumberFormat="1" applyFont="1" applyFill="1" applyAlignment="1" applyProtection="1">
      <alignment vertical="center"/>
      <protection locked="0"/>
    </xf>
    <xf numFmtId="165" fontId="5" fillId="4" borderId="0" xfId="1" applyNumberFormat="1" applyFont="1" applyFill="1" applyAlignment="1" applyProtection="1">
      <alignment vertical="center"/>
      <protection locked="0"/>
    </xf>
    <xf numFmtId="1" fontId="5" fillId="4" borderId="0" xfId="1" applyNumberFormat="1" applyFont="1" applyFill="1" applyAlignment="1">
      <alignment horizontal="right" vertical="center"/>
    </xf>
    <xf numFmtId="167" fontId="5" fillId="4" borderId="0" xfId="1" applyNumberFormat="1" applyFont="1" applyFill="1" applyAlignment="1">
      <alignment vertical="center"/>
    </xf>
    <xf numFmtId="0" fontId="5" fillId="4" borderId="0" xfId="1" applyFont="1" applyFill="1" applyAlignment="1">
      <alignment horizontal="center" vertical="center"/>
    </xf>
    <xf numFmtId="165" fontId="5" fillId="4" borderId="0" xfId="1" applyNumberFormat="1" applyFont="1" applyFill="1" applyAlignment="1">
      <alignment horizontal="left" vertical="center"/>
    </xf>
    <xf numFmtId="0" fontId="5" fillId="4" borderId="0" xfId="1" applyFont="1" applyFill="1" applyAlignment="1" applyProtection="1">
      <alignment horizontal="center" vertical="center"/>
      <protection locked="0"/>
    </xf>
    <xf numFmtId="165" fontId="5" fillId="4" borderId="0" xfId="1" applyNumberFormat="1" applyFont="1" applyFill="1" applyAlignment="1">
      <alignment vertical="center"/>
    </xf>
    <xf numFmtId="167" fontId="5" fillId="4" borderId="0" xfId="1" applyNumberFormat="1" applyFont="1" applyFill="1" applyAlignment="1" applyProtection="1">
      <alignment horizontal="right" vertical="center"/>
      <protection locked="0"/>
    </xf>
    <xf numFmtId="0" fontId="5" fillId="2" borderId="0" xfId="1" applyFont="1" applyFill="1" applyAlignment="1" applyProtection="1">
      <alignment vertical="center"/>
      <protection locked="0"/>
    </xf>
    <xf numFmtId="2" fontId="5" fillId="2" borderId="0" xfId="0" applyNumberFormat="1" applyFont="1" applyFill="1" applyProtection="1">
      <protection locked="0"/>
    </xf>
    <xf numFmtId="2" fontId="3" fillId="2" borderId="0" xfId="0" applyNumberFormat="1" applyFont="1" applyFill="1"/>
    <xf numFmtId="0" fontId="10" fillId="2" borderId="0" xfId="1" applyFont="1" applyFill="1" applyAlignment="1">
      <alignment vertical="center"/>
    </xf>
    <xf numFmtId="0" fontId="5" fillId="0" borderId="13" xfId="0" applyFont="1" applyBorder="1"/>
    <xf numFmtId="0" fontId="5" fillId="0" borderId="14" xfId="0" applyFont="1" applyBorder="1"/>
    <xf numFmtId="0" fontId="5" fillId="0" borderId="12" xfId="1" applyFont="1" applyBorder="1" applyAlignment="1" applyProtection="1">
      <alignment vertical="center"/>
      <protection locked="0"/>
    </xf>
    <xf numFmtId="0" fontId="5" fillId="0" borderId="12" xfId="0" applyFont="1" applyBorder="1"/>
    <xf numFmtId="0" fontId="5" fillId="0" borderId="13" xfId="1" applyFont="1" applyBorder="1" applyAlignment="1" applyProtection="1">
      <alignment vertical="center"/>
      <protection locked="0"/>
    </xf>
    <xf numFmtId="0" fontId="5" fillId="0" borderId="14" xfId="1" applyFont="1" applyBorder="1" applyAlignment="1" applyProtection="1">
      <alignment vertical="center"/>
      <protection locked="0"/>
    </xf>
    <xf numFmtId="2" fontId="5" fillId="0" borderId="14" xfId="0" applyNumberFormat="1" applyFont="1" applyBorder="1" applyProtection="1">
      <protection locked="0"/>
    </xf>
    <xf numFmtId="0" fontId="5" fillId="3" borderId="12" xfId="1" applyFont="1" applyFill="1" applyBorder="1" applyAlignment="1">
      <alignment vertical="center"/>
    </xf>
    <xf numFmtId="0" fontId="5" fillId="2" borderId="12" xfId="0" applyFont="1" applyFill="1" applyBorder="1"/>
    <xf numFmtId="0" fontId="3" fillId="0" borderId="0" xfId="2" applyFont="1" applyAlignment="1">
      <alignment horizontal="center" vertical="center" wrapText="1"/>
    </xf>
    <xf numFmtId="0" fontId="7" fillId="0" borderId="7" xfId="1" applyFont="1" applyBorder="1" applyAlignment="1">
      <alignment horizontal="left" vertical="center" wrapText="1"/>
    </xf>
    <xf numFmtId="0" fontId="7" fillId="0" borderId="8" xfId="1" applyFont="1" applyBorder="1" applyAlignment="1">
      <alignment horizontal="left" vertical="center" wrapText="1"/>
    </xf>
    <xf numFmtId="0" fontId="5" fillId="0" borderId="0" xfId="0" applyFont="1"/>
    <xf numFmtId="0" fontId="5" fillId="0" borderId="0" xfId="1" quotePrefix="1" applyFont="1" applyAlignment="1">
      <alignment horizontal="left" vertical="center" wrapText="1"/>
    </xf>
    <xf numFmtId="0" fontId="5" fillId="0" borderId="0" xfId="1" applyFont="1" applyAlignment="1">
      <alignment vertical="center" wrapText="1"/>
    </xf>
    <xf numFmtId="0" fontId="5" fillId="2" borderId="12" xfId="0" applyFont="1" applyFill="1" applyBorder="1" applyProtection="1">
      <protection locked="0"/>
    </xf>
    <xf numFmtId="167" fontId="5" fillId="3" borderId="12" xfId="1" applyNumberFormat="1" applyFont="1" applyFill="1" applyBorder="1" applyAlignment="1" applyProtection="1">
      <alignment horizontal="right" vertical="center"/>
      <protection locked="0"/>
    </xf>
    <xf numFmtId="169" fontId="5" fillId="3" borderId="12" xfId="1" applyNumberFormat="1" applyFont="1" applyFill="1" applyBorder="1" applyAlignment="1" applyProtection="1">
      <alignment horizontal="right" vertical="center"/>
      <protection locked="0"/>
    </xf>
    <xf numFmtId="165" fontId="5" fillId="4" borderId="0" xfId="1" applyNumberFormat="1" applyFont="1" applyFill="1" applyBorder="1" applyAlignment="1" applyProtection="1">
      <alignment horizontal="right" vertical="center"/>
      <protection locked="0"/>
    </xf>
    <xf numFmtId="0" fontId="5" fillId="4" borderId="0" xfId="1" applyFont="1" applyFill="1" applyBorder="1" applyAlignment="1">
      <alignment vertical="center"/>
    </xf>
    <xf numFmtId="0" fontId="5" fillId="2" borderId="1" xfId="1" applyFont="1" applyFill="1" applyBorder="1" applyAlignment="1" applyProtection="1">
      <alignment horizontal="left" vertical="center"/>
      <protection locked="0"/>
    </xf>
    <xf numFmtId="0" fontId="5" fillId="2" borderId="2" xfId="1" applyFont="1" applyFill="1" applyBorder="1" applyAlignment="1" applyProtection="1">
      <alignment horizontal="left" vertical="center"/>
      <protection locked="0"/>
    </xf>
    <xf numFmtId="0" fontId="5" fillId="2" borderId="3" xfId="1" applyFont="1" applyFill="1" applyBorder="1" applyAlignment="1" applyProtection="1">
      <alignment horizontal="left" vertical="center"/>
      <protection locked="0"/>
    </xf>
    <xf numFmtId="0" fontId="5" fillId="4" borderId="0" xfId="1" applyFont="1" applyFill="1" applyBorder="1" applyAlignment="1" applyProtection="1">
      <alignment horizontal="left" vertical="center"/>
      <protection locked="0"/>
    </xf>
    <xf numFmtId="165" fontId="5" fillId="2" borderId="12" xfId="1" applyNumberFormat="1" applyFont="1" applyFill="1" applyBorder="1" applyAlignment="1" applyProtection="1">
      <alignment vertical="center"/>
      <protection locked="0"/>
    </xf>
    <xf numFmtId="0" fontId="8" fillId="0" borderId="4" xfId="1" applyFont="1" applyBorder="1" applyAlignment="1" applyProtection="1">
      <alignment horizontal="center" vertical="center"/>
      <protection locked="0"/>
    </xf>
    <xf numFmtId="0" fontId="8" fillId="0" borderId="5" xfId="1" applyFont="1" applyBorder="1" applyAlignment="1" applyProtection="1">
      <alignment vertical="center"/>
      <protection locked="0"/>
    </xf>
    <xf numFmtId="0" fontId="8" fillId="0" borderId="5" xfId="1" applyFont="1" applyBorder="1" applyAlignment="1" applyProtection="1">
      <alignment horizontal="right" vertical="center"/>
      <protection locked="0"/>
    </xf>
    <xf numFmtId="0" fontId="8" fillId="0" borderId="6" xfId="1" applyFont="1" applyBorder="1" applyAlignment="1" applyProtection="1">
      <alignment vertical="center"/>
      <protection locked="0"/>
    </xf>
    <xf numFmtId="0" fontId="8" fillId="0" borderId="11" xfId="1" applyFont="1" applyBorder="1" applyAlignment="1" applyProtection="1">
      <alignment horizontal="center" vertical="center"/>
      <protection locked="0"/>
    </xf>
    <xf numFmtId="0" fontId="8" fillId="0" borderId="0" xfId="1" applyFont="1" applyBorder="1" applyAlignment="1" applyProtection="1">
      <alignment vertical="center"/>
      <protection locked="0"/>
    </xf>
    <xf numFmtId="0" fontId="8" fillId="0" borderId="0" xfId="1" applyFont="1" applyBorder="1" applyAlignment="1" applyProtection="1">
      <alignment horizontal="right" vertical="center"/>
      <protection locked="0"/>
    </xf>
    <xf numFmtId="0" fontId="8" fillId="0" borderId="10" xfId="1" applyFont="1" applyBorder="1" applyAlignment="1" applyProtection="1">
      <alignment vertical="center"/>
      <protection locked="0"/>
    </xf>
    <xf numFmtId="0" fontId="2" fillId="0" borderId="11" xfId="1" applyFont="1" applyBorder="1" applyAlignment="1" applyProtection="1">
      <alignment horizontal="center" vertical="center"/>
      <protection locked="0"/>
    </xf>
    <xf numFmtId="0" fontId="2" fillId="0" borderId="0" xfId="1" applyFont="1" applyBorder="1" applyAlignment="1" applyProtection="1">
      <alignment vertical="center"/>
      <protection locked="0"/>
    </xf>
    <xf numFmtId="0" fontId="2" fillId="0" borderId="0" xfId="1" applyFont="1" applyBorder="1" applyAlignment="1" applyProtection="1">
      <alignment horizontal="right" vertical="center"/>
      <protection locked="0"/>
    </xf>
    <xf numFmtId="0" fontId="2" fillId="0" borderId="7" xfId="1" applyFont="1" applyBorder="1" applyAlignment="1" applyProtection="1">
      <alignment horizontal="center" vertical="center"/>
      <protection locked="0"/>
    </xf>
    <xf numFmtId="0" fontId="2" fillId="0" borderId="8" xfId="1" applyFont="1" applyBorder="1" applyAlignment="1" applyProtection="1">
      <alignment vertical="center"/>
      <protection locked="0"/>
    </xf>
    <xf numFmtId="0" fontId="2" fillId="0" borderId="8" xfId="1" applyFont="1" applyBorder="1" applyAlignment="1" applyProtection="1">
      <alignment horizontal="right" vertical="center"/>
      <protection locked="0"/>
    </xf>
    <xf numFmtId="0" fontId="2" fillId="0" borderId="9" xfId="1" applyFont="1" applyBorder="1" applyAlignment="1" applyProtection="1">
      <alignment vertical="center"/>
      <protection locked="0"/>
    </xf>
    <xf numFmtId="0" fontId="2" fillId="0" borderId="4" xfId="1" applyFont="1" applyBorder="1" applyAlignment="1" applyProtection="1">
      <alignment horizontal="center" vertical="center"/>
      <protection locked="0"/>
    </xf>
    <xf numFmtId="0" fontId="2" fillId="0" borderId="5" xfId="1" applyFont="1" applyBorder="1" applyAlignment="1" applyProtection="1">
      <alignment vertical="center"/>
      <protection locked="0"/>
    </xf>
    <xf numFmtId="0" fontId="2" fillId="0" borderId="5" xfId="1" applyFont="1" applyBorder="1" applyAlignment="1" applyProtection="1">
      <alignment horizontal="right" vertical="center"/>
      <protection locked="0"/>
    </xf>
    <xf numFmtId="0" fontId="2" fillId="0" borderId="6" xfId="1" applyFont="1" applyBorder="1" applyAlignment="1" applyProtection="1">
      <alignment vertical="center"/>
      <protection locked="0"/>
    </xf>
  </cellXfs>
  <cellStyles count="4">
    <cellStyle name="Normal" xfId="0" builtinId="0"/>
    <cellStyle name="Normal 3" xfId="3" xr:uid="{D447FD7B-4858-4217-98C0-2371DEBBA7FD}"/>
    <cellStyle name="Normal_346_0008 Sizing Sheets for PSV Calculations" xfId="1" xr:uid="{CD844C56-3050-4B5F-BBD3-6604DA1EB121}"/>
    <cellStyle name="Normal_Copy of 346_0008 Sizing Sheets for PSV Calculations" xfId="2" xr:uid="{6CF81970-9017-4693-B40C-FC02F9BF3F2B}"/>
  </cellStyles>
  <dxfs count="6">
    <dxf>
      <font>
        <condense val="0"/>
        <extend val="0"/>
        <color indexed="9"/>
      </font>
    </dxf>
    <dxf>
      <font>
        <condense val="0"/>
        <extend val="0"/>
        <color indexed="9"/>
      </font>
    </dxf>
    <dxf>
      <font>
        <strike val="0"/>
        <condense val="0"/>
        <extend val="0"/>
        <color indexed="9"/>
      </font>
    </dxf>
    <dxf>
      <font>
        <condense val="0"/>
        <extend val="0"/>
        <color indexed="9"/>
      </font>
    </dxf>
    <dxf>
      <font>
        <strike val="0"/>
        <condense val="0"/>
        <extend val="0"/>
        <color indexed="9"/>
      </font>
    </dxf>
    <dxf>
      <font>
        <condense val="0"/>
        <extend val="0"/>
        <color indexed="9"/>
      </font>
    </dxf>
  </dxfs>
  <tableStyles count="0" defaultTableStyle="TableStyleMedium2" defaultPivotStyle="PivotStyleLight16"/>
  <colors>
    <mruColors>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externalLink" Target="externalLinks/externalLink8.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externalLink" Target="externalLinks/externalLink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2.jpeg"/><Relationship Id="rId5" Type="http://schemas.openxmlformats.org/officeDocument/2006/relationships/image" Target="../media/image12.png"/><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20A59D4B-2174-4034-B546-1AF35E9EE2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74FC42EA-09A0-486E-88FA-57AADB1D598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C656F54C-DF27-4968-8125-6B8FF41449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390525</xdr:colOff>
          <xdr:row>11</xdr:row>
          <xdr:rowOff>104775</xdr:rowOff>
        </xdr:from>
        <xdr:to>
          <xdr:col>10</xdr:col>
          <xdr:colOff>19050</xdr:colOff>
          <xdr:row>14</xdr:row>
          <xdr:rowOff>47625</xdr:rowOff>
        </xdr:to>
        <xdr:sp macro="" textlink="">
          <xdr:nvSpPr>
            <xdr:cNvPr id="7176" name="CommandButton1"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31</xdr:row>
      <xdr:rowOff>0</xdr:rowOff>
    </xdr:from>
    <xdr:to>
      <xdr:col>10</xdr:col>
      <xdr:colOff>318527</xdr:colOff>
      <xdr:row>59</xdr:row>
      <xdr:rowOff>141740</xdr:rowOff>
    </xdr:to>
    <xdr:pic>
      <xdr:nvPicPr>
        <xdr:cNvPr id="7199" name="Overpressure">
          <a:extLst>
            <a:ext uri="{FF2B5EF4-FFF2-40B4-BE49-F238E27FC236}">
              <a16:creationId xmlns:a16="http://schemas.microsoft.com/office/drawing/2014/main" id="{6546B743-3D33-5924-CA68-AA52E812A47D}"/>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5385827" cy="4142240"/>
        </a:xfrm>
        <a:prstGeom prst="rect">
          <a:avLst/>
        </a:prstGeom>
      </xdr:spPr>
    </xdr:pic>
    <xdr:clientData/>
  </xdr:twoCellAnchor>
  <xdr:twoCellAnchor editAs="oneCell">
    <xdr:from>
      <xdr:col>1</xdr:col>
      <xdr:colOff>0</xdr:colOff>
      <xdr:row>68</xdr:row>
      <xdr:rowOff>0</xdr:rowOff>
    </xdr:from>
    <xdr:to>
      <xdr:col>10</xdr:col>
      <xdr:colOff>291095</xdr:colOff>
      <xdr:row>97</xdr:row>
      <xdr:rowOff>17915</xdr:rowOff>
    </xdr:to>
    <xdr:pic>
      <xdr:nvPicPr>
        <xdr:cNvPr id="7201" name="Impulse">
          <a:extLst>
            <a:ext uri="{FF2B5EF4-FFF2-40B4-BE49-F238E27FC236}">
              <a16:creationId xmlns:a16="http://schemas.microsoft.com/office/drawing/2014/main" id="{78F40C8A-F629-5ABB-1853-ADC62F8FA41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10029825"/>
          <a:ext cx="5358395" cy="4142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20D9BBF-2558-4496-95C0-47CBD736BF8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590550</xdr:colOff>
          <xdr:row>12</xdr:row>
          <xdr:rowOff>38100</xdr:rowOff>
        </xdr:from>
        <xdr:to>
          <xdr:col>10</xdr:col>
          <xdr:colOff>342900</xdr:colOff>
          <xdr:row>15</xdr:row>
          <xdr:rowOff>66675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Flame analysis</a:t>
              </a:r>
            </a:p>
          </xdr:txBody>
        </xdr:sp>
        <xdr:clientData fPrintsWithSheet="0"/>
      </xdr:twoCellAnchor>
    </mc:Choice>
    <mc:Fallback/>
  </mc:AlternateContent>
  <xdr:twoCellAnchor editAs="oneCell">
    <xdr:from>
      <xdr:col>1</xdr:col>
      <xdr:colOff>0</xdr:colOff>
      <xdr:row>31</xdr:row>
      <xdr:rowOff>0</xdr:rowOff>
    </xdr:from>
    <xdr:to>
      <xdr:col>9</xdr:col>
      <xdr:colOff>157743</xdr:colOff>
      <xdr:row>60</xdr:row>
      <xdr:rowOff>72017</xdr:rowOff>
    </xdr:to>
    <xdr:pic>
      <xdr:nvPicPr>
        <xdr:cNvPr id="4175" name="Flame heat flux">
          <a:extLst>
            <a:ext uri="{FF2B5EF4-FFF2-40B4-BE49-F238E27FC236}">
              <a16:creationId xmlns:a16="http://schemas.microsoft.com/office/drawing/2014/main" id="{5AD109A0-F6DC-A191-771A-724DB39539E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4743450"/>
          <a:ext cx="4672593" cy="4215392"/>
        </a:xfrm>
        <a:prstGeom prst="rect">
          <a:avLst/>
        </a:prstGeom>
      </xdr:spPr>
    </xdr:pic>
    <xdr:clientData/>
  </xdr:twoCellAnchor>
  <xdr:twoCellAnchor editAs="oneCell">
    <xdr:from>
      <xdr:col>1</xdr:col>
      <xdr:colOff>0</xdr:colOff>
      <xdr:row>67</xdr:row>
      <xdr:rowOff>0</xdr:rowOff>
    </xdr:from>
    <xdr:to>
      <xdr:col>9</xdr:col>
      <xdr:colOff>57159</xdr:colOff>
      <xdr:row>97</xdr:row>
      <xdr:rowOff>21345</xdr:rowOff>
    </xdr:to>
    <xdr:pic>
      <xdr:nvPicPr>
        <xdr:cNvPr id="4177" name="Flame temperature">
          <a:extLst>
            <a:ext uri="{FF2B5EF4-FFF2-40B4-BE49-F238E27FC236}">
              <a16:creationId xmlns:a16="http://schemas.microsoft.com/office/drawing/2014/main" id="{BDB18400-D684-8C45-AC83-2E257B7497B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2400" y="9886950"/>
          <a:ext cx="4572009" cy="42885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9938DDE0-C6B1-4BA1-92E2-F7FC87798C3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670" y="38100"/>
          <a:ext cx="903262" cy="10248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209550</xdr:colOff>
          <xdr:row>11</xdr:row>
          <xdr:rowOff>57150</xdr:rowOff>
        </xdr:from>
        <xdr:to>
          <xdr:col>10</xdr:col>
          <xdr:colOff>285750</xdr:colOff>
          <xdr:row>14</xdr:row>
          <xdr:rowOff>28575</xdr:rowOff>
        </xdr:to>
        <xdr:sp macro="" textlink="">
          <xdr:nvSpPr>
            <xdr:cNvPr id="3078" name="CommandButton1"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xdr:colOff>
      <xdr:row>27</xdr:row>
      <xdr:rowOff>0</xdr:rowOff>
    </xdr:from>
    <xdr:to>
      <xdr:col>10</xdr:col>
      <xdr:colOff>226725</xdr:colOff>
      <xdr:row>54</xdr:row>
      <xdr:rowOff>66675</xdr:rowOff>
    </xdr:to>
    <xdr:pic>
      <xdr:nvPicPr>
        <xdr:cNvPr id="20" name="Jet Plume">
          <a:extLst>
            <a:ext uri="{FF2B5EF4-FFF2-40B4-BE49-F238E27FC236}">
              <a16:creationId xmlns:a16="http://schemas.microsoft.com/office/drawing/2014/main" id="{FC8D128A-DCE3-AD73-7FE0-36BF272ECCE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1" y="4171950"/>
          <a:ext cx="5294024" cy="3924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5</xdr:row>
          <xdr:rowOff>19050</xdr:rowOff>
        </xdr:from>
        <xdr:to>
          <xdr:col>10</xdr:col>
          <xdr:colOff>542925</xdr:colOff>
          <xdr:row>7</xdr:row>
          <xdr:rowOff>28575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228D8AB0-E9C9-4A53-A133-3FBA68AA5BE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Single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7</xdr:row>
          <xdr:rowOff>76200</xdr:rowOff>
        </xdr:from>
        <xdr:to>
          <xdr:col>10</xdr:col>
          <xdr:colOff>542925</xdr:colOff>
          <xdr:row>9</xdr:row>
          <xdr:rowOff>9525</xdr:rowOff>
        </xdr:to>
        <xdr:sp macro="" textlink="">
          <xdr:nvSpPr>
            <xdr:cNvPr id="8194" name="Button 2" hidden="1">
              <a:extLst>
                <a:ext uri="{63B3BB69-23CF-44E3-9099-C40C66FF867C}">
                  <a14:compatExt spid="_x0000_s8194"/>
                </a:ext>
                <a:ext uri="{FF2B5EF4-FFF2-40B4-BE49-F238E27FC236}">
                  <a16:creationId xmlns:a16="http://schemas.microsoft.com/office/drawing/2014/main" id="{8715C81F-176E-4CC1-BE5C-D87693A27E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Two Page</a:t>
              </a:r>
            </a:p>
          </xdr:txBody>
        </xdr:sp>
        <xdr:clientData fPrintsWithSheet="0"/>
      </xdr:twoCellAnchor>
    </mc:Choice>
    <mc:Fallback/>
  </mc:AlternateContent>
  <xdr:twoCellAnchor editAs="oneCell">
    <xdr:from>
      <xdr:col>0</xdr:col>
      <xdr:colOff>28575</xdr:colOff>
      <xdr:row>0</xdr:row>
      <xdr:rowOff>38100</xdr:rowOff>
    </xdr:from>
    <xdr:to>
      <xdr:col>2</xdr:col>
      <xdr:colOff>415582</xdr:colOff>
      <xdr:row>0</xdr:row>
      <xdr:rowOff>1062990</xdr:rowOff>
    </xdr:to>
    <xdr:pic>
      <xdr:nvPicPr>
        <xdr:cNvPr id="2" name="Picture 1">
          <a:extLst>
            <a:ext uri="{FF2B5EF4-FFF2-40B4-BE49-F238E27FC236}">
              <a16:creationId xmlns:a16="http://schemas.microsoft.com/office/drawing/2014/main" id="{E9AE47A1-9EC6-4DE8-B62B-080D336DFA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38100"/>
          <a:ext cx="882307" cy="102489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390525</xdr:colOff>
          <xdr:row>13</xdr:row>
          <xdr:rowOff>95250</xdr:rowOff>
        </xdr:from>
        <xdr:to>
          <xdr:col>10</xdr:col>
          <xdr:colOff>142875</xdr:colOff>
          <xdr:row>16</xdr:row>
          <xdr:rowOff>95250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confined overpressure</a:t>
              </a:r>
            </a:p>
          </xdr:txBody>
        </xdr:sp>
        <xdr:clientData fPrintsWithSheet="0"/>
      </xdr:twoCellAnchor>
    </mc:Choice>
    <mc:Fallback/>
  </mc:AlternateContent>
  <xdr:twoCellAnchor editAs="oneCell">
    <xdr:from>
      <xdr:col>1</xdr:col>
      <xdr:colOff>222418</xdr:colOff>
      <xdr:row>37</xdr:row>
      <xdr:rowOff>114300</xdr:rowOff>
    </xdr:from>
    <xdr:to>
      <xdr:col>9</xdr:col>
      <xdr:colOff>440025</xdr:colOff>
      <xdr:row>60</xdr:row>
      <xdr:rowOff>125131</xdr:rowOff>
    </xdr:to>
    <xdr:pic>
      <xdr:nvPicPr>
        <xdr:cNvPr id="5" name="Picture 4">
          <a:extLst>
            <a:ext uri="{FF2B5EF4-FFF2-40B4-BE49-F238E27FC236}">
              <a16:creationId xmlns:a16="http://schemas.microsoft.com/office/drawing/2014/main" id="{ADD9B7DB-3652-5085-50F0-A1A13AED1924}"/>
            </a:ext>
          </a:extLst>
        </xdr:cNvPr>
        <xdr:cNvPicPr>
          <a:picLocks noChangeAspect="1"/>
        </xdr:cNvPicPr>
      </xdr:nvPicPr>
      <xdr:blipFill>
        <a:blip xmlns:r="http://schemas.openxmlformats.org/officeDocument/2006/relationships" r:embed="rId2"/>
        <a:stretch>
          <a:fillRect/>
        </a:stretch>
      </xdr:blipFill>
      <xdr:spPr>
        <a:xfrm>
          <a:off x="374818" y="5715000"/>
          <a:ext cx="4732457" cy="3296956"/>
        </a:xfrm>
        <a:prstGeom prst="rect">
          <a:avLst/>
        </a:prstGeom>
      </xdr:spPr>
    </xdr:pic>
    <xdr:clientData/>
  </xdr:twoCellAnchor>
  <xdr:twoCellAnchor editAs="oneCell">
    <xdr:from>
      <xdr:col>2</xdr:col>
      <xdr:colOff>0</xdr:colOff>
      <xdr:row>65</xdr:row>
      <xdr:rowOff>1</xdr:rowOff>
    </xdr:from>
    <xdr:to>
      <xdr:col>10</xdr:col>
      <xdr:colOff>32318</xdr:colOff>
      <xdr:row>91</xdr:row>
      <xdr:rowOff>122842</xdr:rowOff>
    </xdr:to>
    <xdr:pic>
      <xdr:nvPicPr>
        <xdr:cNvPr id="8337" name="Overpressure">
          <a:extLst>
            <a:ext uri="{FF2B5EF4-FFF2-40B4-BE49-F238E27FC236}">
              <a16:creationId xmlns:a16="http://schemas.microsoft.com/office/drawing/2014/main" id="{7CA075C2-507A-0BBD-2280-ED113ADF0AB6}"/>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95300" y="9601201"/>
          <a:ext cx="4756718" cy="3818541"/>
        </a:xfrm>
        <a:prstGeom prst="rect">
          <a:avLst/>
        </a:prstGeom>
      </xdr:spPr>
    </xdr:pic>
    <xdr:clientData/>
  </xdr:twoCellAnchor>
  <xdr:twoCellAnchor editAs="oneCell">
    <xdr:from>
      <xdr:col>2</xdr:col>
      <xdr:colOff>0</xdr:colOff>
      <xdr:row>92</xdr:row>
      <xdr:rowOff>0</xdr:rowOff>
    </xdr:from>
    <xdr:to>
      <xdr:col>10</xdr:col>
      <xdr:colOff>24088</xdr:colOff>
      <xdr:row>116</xdr:row>
      <xdr:rowOff>126194</xdr:rowOff>
    </xdr:to>
    <xdr:pic>
      <xdr:nvPicPr>
        <xdr:cNvPr id="8339" name="Layer">
          <a:extLst>
            <a:ext uri="{FF2B5EF4-FFF2-40B4-BE49-F238E27FC236}">
              <a16:creationId xmlns:a16="http://schemas.microsoft.com/office/drawing/2014/main" id="{765AE799-27F6-C9EF-06D6-6B6DF5E40A3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95300" y="13439775"/>
          <a:ext cx="4748488" cy="3555194"/>
        </a:xfrm>
        <a:prstGeom prst="rect">
          <a:avLst/>
        </a:prstGeom>
      </xdr:spPr>
    </xdr:pic>
    <xdr:clientData/>
  </xdr:twoCellAnchor>
  <xdr:twoCellAnchor editAs="oneCell">
    <xdr:from>
      <xdr:col>0</xdr:col>
      <xdr:colOff>152399</xdr:colOff>
      <xdr:row>120</xdr:row>
      <xdr:rowOff>161923</xdr:rowOff>
    </xdr:from>
    <xdr:to>
      <xdr:col>9</xdr:col>
      <xdr:colOff>228151</xdr:colOff>
      <xdr:row>165</xdr:row>
      <xdr:rowOff>31406</xdr:rowOff>
    </xdr:to>
    <xdr:pic>
      <xdr:nvPicPr>
        <xdr:cNvPr id="8341" name="Blowdown">
          <a:extLst>
            <a:ext uri="{FF2B5EF4-FFF2-40B4-BE49-F238E27FC236}">
              <a16:creationId xmlns:a16="http://schemas.microsoft.com/office/drawing/2014/main" id="{460521FE-DA0B-7128-CC82-74CD00A40E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2399" y="17611723"/>
          <a:ext cx="4743002" cy="71561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ORS_PSV_MASTER.xlsm" TargetMode="External"/><Relationship Id="rId1" Type="http://schemas.openxmlformats.org/officeDocument/2006/relationships/externalLinkPath" Target="/Users/AndersAndreasen/Documents/GitHub/minithermo/excel/ORS_PSV_MAST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Handbook%20WIP%20Folder/Handbook%20Files/Blank%20Calculation.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kprojects.worleyparsons.com/Blank%20Calculat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oyota\adn\tmn\Hysys%20linesizing\Hysys%20line%20HP%20comp.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W:\Documents%20and%20Settings\cts\Application%20Data\Microsoft\Excel\Control_Valves_Vers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W:\Documents%20and%20Settings\cts\Local%20Settings\Temporary%20Internet%20Files\Copy%20of%20346_0008%20Sizing%20Sheets%20for%20PSV%20Calculations.xls"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C:\Users\AndersAndreasen\Documents\GitHub\minithermo\excel\fire_gas_reflief.xlsm" TargetMode="External"/><Relationship Id="rId1" Type="http://schemas.openxmlformats.org/officeDocument/2006/relationships/externalLinkPath" Target="/Users/AndersAndreasen/Documents/GitHub/minithermo/excel/fire_gas_reflief.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kprojects.worleyparsons.com/sites/BP_relief_sytems/Work%20In%20Progress/Personal%20Folders/Rob%20Kirkham/Being%20Revised/RS-00000-PR-CAL-14-0001-B02%20Draft.xlt"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RONTPAGE"/>
      <sheetName val="PSV_SUMMARY"/>
      <sheetName val="PSV_CASES"/>
      <sheetName val="PSV_GAS"/>
      <sheetName val="PSV_LIQUID"/>
      <sheetName val="PSV_FIRE"/>
      <sheetName val="PSV_GFC"/>
      <sheetName val="PSV_HEM"/>
      <sheetName val="PSV_LHE"/>
      <sheetName val="PSV_NOTES"/>
      <sheetName val="MANUAL"/>
      <sheetName val="xlwings.conf"/>
      <sheetName val="PURE_COMPONENTS"/>
      <sheetName val="PSEUDO_COMPONENTS"/>
      <sheetName val="ORS_PSV_MASTER"/>
    </sheetNames>
    <definedNames>
      <definedName name="PrintSinglePage"/>
      <definedName name="PrintTwoPage"/>
    </definedNames>
    <sheetDataSet>
      <sheetData sheetId="0">
        <row r="3">
          <cell r="A3" t="str">
            <v>Project title</v>
          </cell>
        </row>
        <row r="5">
          <cell r="A5" t="str">
            <v>Tag number</v>
          </cell>
        </row>
        <row r="6">
          <cell r="A6" t="str">
            <v>P&amp;ID</v>
          </cell>
        </row>
        <row r="7">
          <cell r="A7" t="str">
            <v>Equipment</v>
          </cell>
        </row>
        <row r="56">
          <cell r="A56" t="str">
            <v>ORS PSV calculation master DRAFT</v>
          </cell>
        </row>
      </sheetData>
      <sheetData sheetId="1">
        <row r="35">
          <cell r="G35" t="str">
            <v>Conventional</v>
          </cell>
        </row>
        <row r="37">
          <cell r="K37" t="str">
            <v>G</v>
          </cell>
        </row>
        <row r="40">
          <cell r="K40">
            <v>324.51547999999997</v>
          </cell>
        </row>
        <row r="43">
          <cell r="G43" t="str">
            <v>No</v>
          </cell>
        </row>
        <row r="44">
          <cell r="G44" t="str">
            <v>Yes</v>
          </cell>
        </row>
        <row r="46">
          <cell r="G46">
            <v>17.239999999999998</v>
          </cell>
        </row>
        <row r="64">
          <cell r="C64" t="str">
            <v>None</v>
          </cell>
          <cell r="D64"/>
        </row>
        <row r="65">
          <cell r="C65" t="str">
            <v>Custom</v>
          </cell>
          <cell r="D65">
            <v>1.3950027900055801</v>
          </cell>
        </row>
        <row r="66">
          <cell r="C66" t="str">
            <v>D</v>
          </cell>
          <cell r="D66">
            <v>0.11</v>
          </cell>
        </row>
        <row r="67">
          <cell r="C67" t="str">
            <v>E</v>
          </cell>
          <cell r="D67">
            <v>0.19600000000000001</v>
          </cell>
        </row>
        <row r="68">
          <cell r="C68" t="str">
            <v>F</v>
          </cell>
          <cell r="D68">
            <v>0.307</v>
          </cell>
        </row>
        <row r="69">
          <cell r="C69" t="str">
            <v>G</v>
          </cell>
          <cell r="D69">
            <v>0.503</v>
          </cell>
        </row>
        <row r="70">
          <cell r="C70" t="str">
            <v>H</v>
          </cell>
          <cell r="D70">
            <v>0.78500000000000003</v>
          </cell>
        </row>
        <row r="71">
          <cell r="C71" t="str">
            <v>J</v>
          </cell>
          <cell r="D71">
            <v>1.2869999999999999</v>
          </cell>
        </row>
        <row r="72">
          <cell r="C72" t="str">
            <v>K</v>
          </cell>
          <cell r="D72">
            <v>1.8380000000000001</v>
          </cell>
        </row>
        <row r="73">
          <cell r="C73" t="str">
            <v>L</v>
          </cell>
          <cell r="D73">
            <v>2.8530000000000002</v>
          </cell>
        </row>
        <row r="74">
          <cell r="C74" t="str">
            <v>M</v>
          </cell>
          <cell r="D74">
            <v>3.6</v>
          </cell>
        </row>
        <row r="75">
          <cell r="C75" t="str">
            <v>N</v>
          </cell>
          <cell r="D75">
            <v>4.34</v>
          </cell>
        </row>
        <row r="76">
          <cell r="C76" t="str">
            <v>P</v>
          </cell>
          <cell r="D76">
            <v>6.38</v>
          </cell>
        </row>
        <row r="77">
          <cell r="C77" t="str">
            <v>Q</v>
          </cell>
          <cell r="D77">
            <v>11.05</v>
          </cell>
        </row>
        <row r="78">
          <cell r="C78" t="str">
            <v>R</v>
          </cell>
          <cell r="D78">
            <v>16</v>
          </cell>
        </row>
        <row r="79">
          <cell r="C79" t="str">
            <v>T</v>
          </cell>
          <cell r="D79">
            <v>26</v>
          </cell>
        </row>
      </sheetData>
      <sheetData sheetId="2"/>
      <sheetData sheetId="3">
        <row r="15">
          <cell r="E15" t="str">
            <v>Gas Relief</v>
          </cell>
        </row>
        <row r="21">
          <cell r="F21">
            <v>50000</v>
          </cell>
        </row>
        <row r="23">
          <cell r="F23">
            <v>17.239999999999998</v>
          </cell>
        </row>
        <row r="24">
          <cell r="F24">
            <v>10</v>
          </cell>
        </row>
        <row r="25">
          <cell r="F25">
            <v>12.013525</v>
          </cell>
        </row>
        <row r="26">
          <cell r="F26">
            <v>1</v>
          </cell>
          <cell r="J26"/>
        </row>
        <row r="27">
          <cell r="F27">
            <v>100</v>
          </cell>
        </row>
        <row r="28">
          <cell r="F28">
            <v>0.97499999999999998</v>
          </cell>
        </row>
        <row r="31">
          <cell r="F31">
            <v>18.146446999999998</v>
          </cell>
        </row>
        <row r="32">
          <cell r="F32">
            <v>1.2415030009857573</v>
          </cell>
        </row>
        <row r="33">
          <cell r="F33">
            <v>0.98461520202104991</v>
          </cell>
        </row>
        <row r="36">
          <cell r="F36">
            <v>1</v>
          </cell>
        </row>
        <row r="37">
          <cell r="F37">
            <v>1</v>
          </cell>
        </row>
        <row r="38">
          <cell r="F38" t="str">
            <v>N/A</v>
          </cell>
        </row>
        <row r="39">
          <cell r="F39" t="str">
            <v>N/A</v>
          </cell>
        </row>
        <row r="42">
          <cell r="F42" t="str">
            <v>Critical flow</v>
          </cell>
        </row>
        <row r="43">
          <cell r="F43">
            <v>7411.1018339629481</v>
          </cell>
        </row>
        <row r="47">
          <cell r="I47" t="str">
            <v>G</v>
          </cell>
        </row>
        <row r="48">
          <cell r="F48">
            <v>10322.56</v>
          </cell>
          <cell r="I48">
            <v>324.51547999999997</v>
          </cell>
        </row>
        <row r="50">
          <cell r="F50">
            <v>69642.545948395127</v>
          </cell>
          <cell r="I50">
            <v>2189.3875382526712</v>
          </cell>
        </row>
        <row r="53">
          <cell r="F53">
            <v>96.374646282073684</v>
          </cell>
        </row>
        <row r="54">
          <cell r="F54" t="str">
            <v>V</v>
          </cell>
        </row>
      </sheetData>
      <sheetData sheetId="4">
        <row r="16">
          <cell r="F16" t="str">
            <v>Capacity certificate required</v>
          </cell>
        </row>
        <row r="23">
          <cell r="F23">
            <v>17.239999999999998</v>
          </cell>
        </row>
        <row r="24">
          <cell r="F24">
            <v>10</v>
          </cell>
        </row>
        <row r="26">
          <cell r="F26">
            <v>4.5</v>
          </cell>
          <cell r="J26"/>
        </row>
        <row r="27">
          <cell r="F27">
            <v>25</v>
          </cell>
        </row>
        <row r="28">
          <cell r="F28">
            <v>0.65</v>
          </cell>
        </row>
        <row r="31">
          <cell r="F31">
            <v>899.1</v>
          </cell>
        </row>
        <row r="32">
          <cell r="F32">
            <v>388</v>
          </cell>
        </row>
        <row r="35">
          <cell r="F35">
            <v>1</v>
          </cell>
        </row>
        <row r="36">
          <cell r="F36">
            <v>1</v>
          </cell>
        </row>
        <row r="37">
          <cell r="F37" t="str">
            <v>N/A</v>
          </cell>
        </row>
        <row r="38">
          <cell r="F38">
            <v>0.98436295913155192</v>
          </cell>
        </row>
        <row r="41">
          <cell r="F41">
            <v>5308.6459848732829</v>
          </cell>
        </row>
        <row r="42">
          <cell r="F42">
            <v>3128.9375198888424</v>
          </cell>
        </row>
        <row r="46">
          <cell r="F46" t="str">
            <v>P</v>
          </cell>
          <cell r="I46" t="str">
            <v>G</v>
          </cell>
        </row>
        <row r="47">
          <cell r="F47">
            <v>4116.1207999999997</v>
          </cell>
          <cell r="I47">
            <v>324.51547999999997</v>
          </cell>
        </row>
        <row r="49">
          <cell r="F49">
            <v>483562.4821915481</v>
          </cell>
          <cell r="I49">
            <v>38124.126730775657</v>
          </cell>
        </row>
        <row r="52">
          <cell r="F52"/>
        </row>
        <row r="53">
          <cell r="F53" t="str">
            <v>Liquid Flow</v>
          </cell>
        </row>
      </sheetData>
      <sheetData sheetId="5">
        <row r="2">
          <cell r="P2" t="str">
            <v>PR</v>
          </cell>
        </row>
        <row r="6">
          <cell r="P6" t="str">
            <v>EOS</v>
          </cell>
        </row>
        <row r="13">
          <cell r="E13"/>
        </row>
        <row r="14">
          <cell r="E14"/>
          <cell r="K14"/>
        </row>
        <row r="15">
          <cell r="E15"/>
        </row>
        <row r="18">
          <cell r="E18"/>
        </row>
        <row r="22">
          <cell r="G22">
            <v>17.239999999999998</v>
          </cell>
          <cell r="K22"/>
        </row>
        <row r="23">
          <cell r="G23"/>
        </row>
        <row r="24">
          <cell r="G24"/>
        </row>
        <row r="25">
          <cell r="G25"/>
          <cell r="K25"/>
        </row>
        <row r="29">
          <cell r="G29"/>
        </row>
        <row r="30">
          <cell r="G30"/>
        </row>
        <row r="31">
          <cell r="G31"/>
        </row>
        <row r="32">
          <cell r="G32"/>
        </row>
        <row r="33">
          <cell r="G33"/>
        </row>
        <row r="36">
          <cell r="G36"/>
        </row>
        <row r="37">
          <cell r="G37">
            <v>18</v>
          </cell>
        </row>
        <row r="38">
          <cell r="G38"/>
        </row>
        <row r="39">
          <cell r="G39"/>
        </row>
        <row r="42">
          <cell r="G42"/>
        </row>
        <row r="43">
          <cell r="G43"/>
        </row>
        <row r="44">
          <cell r="G44"/>
          <cell r="K44"/>
        </row>
        <row r="45">
          <cell r="G45"/>
        </row>
        <row r="46">
          <cell r="G46"/>
        </row>
        <row r="47">
          <cell r="G47"/>
        </row>
        <row r="48">
          <cell r="G48"/>
        </row>
        <row r="49">
          <cell r="G49"/>
        </row>
        <row r="50">
          <cell r="G50"/>
        </row>
        <row r="51">
          <cell r="G51"/>
        </row>
        <row r="54">
          <cell r="G54"/>
          <cell r="I54" t="str">
            <v>G</v>
          </cell>
        </row>
        <row r="55">
          <cell r="G55"/>
          <cell r="I55">
            <v>324.51547999999997</v>
          </cell>
        </row>
        <row r="57">
          <cell r="G57"/>
          <cell r="I57"/>
        </row>
        <row r="59">
          <cell r="G59"/>
        </row>
        <row r="60">
          <cell r="G60"/>
        </row>
      </sheetData>
      <sheetData sheetId="6">
        <row r="3">
          <cell r="P3" t="str">
            <v>PR</v>
          </cell>
        </row>
        <row r="17">
          <cell r="F17">
            <v>17.239999999999998</v>
          </cell>
          <cell r="J17"/>
        </row>
        <row r="18">
          <cell r="F18"/>
        </row>
        <row r="19">
          <cell r="F19"/>
          <cell r="J19"/>
        </row>
        <row r="20">
          <cell r="F20"/>
        </row>
        <row r="23">
          <cell r="F23"/>
        </row>
        <row r="24">
          <cell r="F24"/>
        </row>
        <row r="27">
          <cell r="F27"/>
        </row>
        <row r="28">
          <cell r="F28"/>
        </row>
        <row r="29">
          <cell r="F29"/>
        </row>
        <row r="32">
          <cell r="F32"/>
        </row>
        <row r="33">
          <cell r="F33"/>
        </row>
        <row r="34">
          <cell r="F34"/>
        </row>
        <row r="38">
          <cell r="F38" t="str">
            <v>Calculated</v>
          </cell>
        </row>
        <row r="42">
          <cell r="F42" t="str">
            <v>Manual</v>
          </cell>
        </row>
        <row r="46">
          <cell r="F46"/>
        </row>
        <row r="47">
          <cell r="F47"/>
        </row>
        <row r="48">
          <cell r="F48"/>
        </row>
        <row r="49">
          <cell r="F49"/>
        </row>
        <row r="50">
          <cell r="F50"/>
        </row>
        <row r="53">
          <cell r="F53"/>
          <cell r="I53" t="str">
            <v>G</v>
          </cell>
        </row>
        <row r="54">
          <cell r="F54"/>
          <cell r="I54">
            <v>324.51547999999997</v>
          </cell>
        </row>
        <row r="56">
          <cell r="F56"/>
          <cell r="I56"/>
        </row>
      </sheetData>
      <sheetData sheetId="7">
        <row r="20">
          <cell r="F20">
            <v>17.239999999999998</v>
          </cell>
        </row>
        <row r="21">
          <cell r="F21">
            <v>12.013525</v>
          </cell>
        </row>
        <row r="22">
          <cell r="F22">
            <v>10</v>
          </cell>
        </row>
        <row r="23">
          <cell r="F23">
            <v>1</v>
          </cell>
        </row>
        <row r="24">
          <cell r="F24">
            <v>100</v>
          </cell>
        </row>
        <row r="25">
          <cell r="F25">
            <v>0.85485508417422562</v>
          </cell>
        </row>
        <row r="27">
          <cell r="F27">
            <v>7.2765526315789471</v>
          </cell>
        </row>
        <row r="28">
          <cell r="F28">
            <v>81.085988437199546</v>
          </cell>
        </row>
        <row r="30">
          <cell r="F30">
            <v>2561.3805148219262</v>
          </cell>
        </row>
        <row r="37">
          <cell r="F37">
            <v>1</v>
          </cell>
        </row>
        <row r="38">
          <cell r="F38">
            <v>1</v>
          </cell>
        </row>
        <row r="39">
          <cell r="F39">
            <v>1</v>
          </cell>
        </row>
        <row r="41">
          <cell r="F41">
            <v>1268.6180867818862</v>
          </cell>
        </row>
        <row r="44">
          <cell r="F44" t="str">
            <v>L</v>
          </cell>
        </row>
        <row r="45">
          <cell r="F45">
            <v>1840.64148</v>
          </cell>
        </row>
        <row r="47">
          <cell r="F47">
            <v>14509.027572428597</v>
          </cell>
        </row>
        <row r="49">
          <cell r="F49">
            <v>93.440462472989452</v>
          </cell>
        </row>
        <row r="50">
          <cell r="F50">
            <v>10000</v>
          </cell>
        </row>
        <row r="51">
          <cell r="F51">
            <v>0</v>
          </cell>
        </row>
        <row r="52">
          <cell r="F52">
            <v>0</v>
          </cell>
        </row>
      </sheetData>
      <sheetData sheetId="8">
        <row r="2">
          <cell r="O2" t="str">
            <v>PR</v>
          </cell>
        </row>
        <row r="5">
          <cell r="O5" t="str">
            <v>EOS</v>
          </cell>
        </row>
        <row r="18">
          <cell r="E18" t="str">
            <v>Yes</v>
          </cell>
        </row>
        <row r="21">
          <cell r="F21">
            <v>17.239999999999998</v>
          </cell>
          <cell r="J21"/>
        </row>
        <row r="22">
          <cell r="F22">
            <v>10</v>
          </cell>
        </row>
        <row r="23">
          <cell r="F23">
            <v>1</v>
          </cell>
          <cell r="J23"/>
        </row>
        <row r="24">
          <cell r="F24">
            <v>100</v>
          </cell>
        </row>
        <row r="25">
          <cell r="F25">
            <v>0.65</v>
          </cell>
        </row>
        <row r="28">
          <cell r="F28">
            <v>90</v>
          </cell>
        </row>
        <row r="29">
          <cell r="F29">
            <v>3</v>
          </cell>
        </row>
        <row r="30">
          <cell r="F30">
            <v>1</v>
          </cell>
        </row>
        <row r="31">
          <cell r="F31">
            <v>4.18</v>
          </cell>
        </row>
        <row r="32">
          <cell r="F32">
            <v>900</v>
          </cell>
        </row>
        <row r="33">
          <cell r="F33">
            <v>890</v>
          </cell>
        </row>
        <row r="36">
          <cell r="F36">
            <v>0.1</v>
          </cell>
        </row>
        <row r="37">
          <cell r="F37">
            <v>100</v>
          </cell>
        </row>
        <row r="38">
          <cell r="F38">
            <v>31.431708</v>
          </cell>
        </row>
        <row r="39">
          <cell r="F39"/>
        </row>
        <row r="42">
          <cell r="F42"/>
        </row>
        <row r="43">
          <cell r="F43"/>
        </row>
        <row r="44">
          <cell r="F44"/>
        </row>
        <row r="45">
          <cell r="F45"/>
        </row>
        <row r="48">
          <cell r="F48"/>
          <cell r="J48"/>
        </row>
        <row r="49">
          <cell r="F49"/>
          <cell r="J49"/>
        </row>
        <row r="50">
          <cell r="F50"/>
        </row>
        <row r="51">
          <cell r="F51"/>
        </row>
        <row r="52">
          <cell r="F52"/>
        </row>
        <row r="53">
          <cell r="F53"/>
        </row>
        <row r="56">
          <cell r="F56"/>
          <cell r="I56" t="str">
            <v>G</v>
          </cell>
        </row>
        <row r="57">
          <cell r="F57"/>
          <cell r="I57">
            <v>324.51547999999997</v>
          </cell>
        </row>
        <row r="59">
          <cell r="F59"/>
          <cell r="I59"/>
        </row>
      </sheetData>
      <sheetData sheetId="9"/>
      <sheetData sheetId="10">
        <row r="81">
          <cell r="B81" t="str">
            <v>Calculation is performed in accordance with API RP 520, PART I, 9th ed. 2014</v>
          </cell>
        </row>
      </sheetData>
      <sheetData sheetId="11"/>
      <sheetData sheetId="12">
        <row r="2">
          <cell r="B2" t="str">
            <v>yes</v>
          </cell>
        </row>
        <row r="3">
          <cell r="B3" t="str">
            <v>yes</v>
          </cell>
        </row>
        <row r="4">
          <cell r="B4" t="str">
            <v>yes</v>
          </cell>
        </row>
        <row r="5">
          <cell r="B5" t="str">
            <v>yes</v>
          </cell>
        </row>
        <row r="6">
          <cell r="B6" t="str">
            <v>yes</v>
          </cell>
        </row>
        <row r="7">
          <cell r="B7" t="str">
            <v>yes</v>
          </cell>
        </row>
        <row r="8">
          <cell r="B8" t="str">
            <v>yes</v>
          </cell>
        </row>
        <row r="9">
          <cell r="B9" t="str">
            <v>yes</v>
          </cell>
        </row>
        <row r="10">
          <cell r="B10" t="str">
            <v>no</v>
          </cell>
        </row>
        <row r="11">
          <cell r="B11" t="str">
            <v>no</v>
          </cell>
        </row>
        <row r="12">
          <cell r="B12" t="str">
            <v>no</v>
          </cell>
        </row>
        <row r="13">
          <cell r="B13" t="str">
            <v>no</v>
          </cell>
        </row>
        <row r="14">
          <cell r="B14" t="str">
            <v>no</v>
          </cell>
        </row>
        <row r="15">
          <cell r="B15" t="str">
            <v>yes</v>
          </cell>
        </row>
        <row r="16">
          <cell r="B16" t="str">
            <v>yes</v>
          </cell>
        </row>
        <row r="17">
          <cell r="B17" t="str">
            <v>no</v>
          </cell>
        </row>
        <row r="18">
          <cell r="B18" t="str">
            <v>no</v>
          </cell>
        </row>
        <row r="19">
          <cell r="B19" t="str">
            <v>no</v>
          </cell>
        </row>
        <row r="20">
          <cell r="B20" t="str">
            <v>no</v>
          </cell>
        </row>
        <row r="21">
          <cell r="B21" t="str">
            <v>no</v>
          </cell>
        </row>
        <row r="22">
          <cell r="B22" t="str">
            <v>no</v>
          </cell>
        </row>
        <row r="23">
          <cell r="B23" t="str">
            <v>no</v>
          </cell>
        </row>
        <row r="24">
          <cell r="B24" t="str">
            <v>yes</v>
          </cell>
        </row>
      </sheetData>
      <sheetData sheetId="13">
        <row r="2">
          <cell r="A2" t="str">
            <v>C10-C11</v>
          </cell>
          <cell r="B2" t="str">
            <v>yes</v>
          </cell>
        </row>
        <row r="3">
          <cell r="A3" t="str">
            <v>C12-C14</v>
          </cell>
          <cell r="B3" t="str">
            <v>no</v>
          </cell>
          <cell r="I3" t="str">
            <v/>
          </cell>
        </row>
        <row r="4">
          <cell r="A4" t="str">
            <v>C15+</v>
          </cell>
          <cell r="B4" t="str">
            <v>no</v>
          </cell>
          <cell r="I4" t="str">
            <v/>
          </cell>
        </row>
        <row r="5">
          <cell r="I5" t="str">
            <v/>
          </cell>
        </row>
        <row r="6">
          <cell r="I6" t="str">
            <v/>
          </cell>
        </row>
        <row r="7">
          <cell r="I7" t="str">
            <v/>
          </cell>
        </row>
        <row r="8">
          <cell r="I8" t="str">
            <v/>
          </cell>
        </row>
        <row r="9">
          <cell r="I9" t="str">
            <v/>
          </cell>
        </row>
        <row r="10">
          <cell r="I10" t="str">
            <v/>
          </cell>
        </row>
        <row r="11">
          <cell r="I11" t="str">
            <v/>
          </cell>
        </row>
        <row r="12">
          <cell r="I12" t="str">
            <v/>
          </cell>
        </row>
        <row r="13">
          <cell r="I13" t="str">
            <v/>
          </cell>
        </row>
        <row r="14">
          <cell r="I14" t="str">
            <v/>
          </cell>
        </row>
        <row r="15">
          <cell r="I15" t="str">
            <v/>
          </cell>
        </row>
        <row r="16">
          <cell r="I16" t="str">
            <v/>
          </cell>
        </row>
        <row r="17">
          <cell r="I17" t="str">
            <v/>
          </cell>
        </row>
        <row r="18">
          <cell r="I18" t="str">
            <v/>
          </cell>
        </row>
        <row r="19">
          <cell r="I19" t="str">
            <v/>
          </cell>
        </row>
        <row r="20">
          <cell r="I20" t="str">
            <v/>
          </cell>
        </row>
        <row r="21">
          <cell r="I21" t="str">
            <v/>
          </cell>
        </row>
      </sheetData>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ow r="2">
          <cell r="I2" t="str">
            <v>BP</v>
          </cell>
          <cell r="AG2" t="str">
            <v>XXXXX</v>
          </cell>
        </row>
        <row r="3">
          <cell r="I3" t="str">
            <v>Relief Systems Project</v>
          </cell>
          <cell r="AG3" t="str">
            <v>YYYYY</v>
          </cell>
        </row>
        <row r="4">
          <cell r="I4" t="str">
            <v>PSV Sizing</v>
          </cell>
          <cell r="AH4" t="str">
            <v>ZZZZZ</v>
          </cell>
        </row>
        <row r="5">
          <cell r="I5" t="str">
            <v>X\Y\Z</v>
          </cell>
        </row>
        <row r="6">
          <cell r="J6" t="str">
            <v>X\Y\Z</v>
          </cell>
          <cell r="AL6">
            <v>6</v>
          </cell>
        </row>
        <row r="54">
          <cell r="B54" t="str">
            <v>NOTICE: These materials are the Work Product of WorleyParsons, and no reliance on this work product is authorized by WorleyParsons, and WorleyParsons accepts no liability for any reliance by any person on the work product contained herein. BP has expressl</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heet5"/>
      <sheetName val="Module1"/>
      <sheetName val="Checklist"/>
      <sheetName val="ToC"/>
      <sheetName val="4"/>
      <sheetName val="A"/>
    </sheetNames>
    <sheetDataSet>
      <sheetData sheetId="0" refreshError="1">
        <row r="50">
          <cell r="B50">
            <v>3</v>
          </cell>
          <cell r="E50">
            <v>40911</v>
          </cell>
          <cell r="AC50" t="str">
            <v>Checker 3</v>
          </cell>
        </row>
        <row r="51">
          <cell r="E51">
            <v>40910</v>
          </cell>
          <cell r="AC51" t="str">
            <v>Checker 2</v>
          </cell>
        </row>
        <row r="52">
          <cell r="E52">
            <v>40909</v>
          </cell>
          <cell r="AC52" t="str">
            <v>Checker 1</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mparison"/>
      <sheetName val="Output (1)"/>
      <sheetName val="Settings"/>
      <sheetName val="PropSets"/>
      <sheetName val="Output Template"/>
      <sheetName val="Comparison Output Template"/>
    </sheetNames>
    <sheetDataSet>
      <sheetData sheetId="0"/>
      <sheetData sheetId="1"/>
      <sheetData sheetId="2"/>
      <sheetData sheetId="3">
        <row r="4">
          <cell r="H4" t="str">
            <v>Overall</v>
          </cell>
        </row>
        <row r="5">
          <cell r="H5" t="str">
            <v>Vapour</v>
          </cell>
        </row>
        <row r="6">
          <cell r="H6" t="str">
            <v>Light Liquid</v>
          </cell>
        </row>
        <row r="7">
          <cell r="H7" t="str">
            <v>Heavy Liquid</v>
          </cell>
        </row>
        <row r="8">
          <cell r="H8" t="str">
            <v>Combined Liquid</v>
          </cell>
        </row>
        <row r="9">
          <cell r="H9" t="str">
            <v>Solid</v>
          </cell>
        </row>
        <row r="10">
          <cell r="H10" t="str">
            <v>Correlation</v>
          </cell>
        </row>
        <row r="11">
          <cell r="H11" t="str">
            <v>User Variable</v>
          </cell>
        </row>
        <row r="12">
          <cell r="H12" t="str">
            <v>User Property</v>
          </cell>
        </row>
        <row r="13">
          <cell r="H13" t="str">
            <v>Formula</v>
          </cell>
        </row>
        <row r="14">
          <cell r="H14" t="str">
            <v>Label</v>
          </cell>
        </row>
        <row r="30">
          <cell r="A30" t="str">
            <v>Actual Gas Flow</v>
          </cell>
          <cell r="B30" t="str">
            <v>Actual Gas Flow</v>
          </cell>
          <cell r="D30" t="str">
            <v>Actual Volume Flow</v>
          </cell>
        </row>
        <row r="31">
          <cell r="A31" t="str">
            <v>Actual Liquid Flow</v>
          </cell>
          <cell r="B31" t="str">
            <v>Actual Volume Flow</v>
          </cell>
          <cell r="D31" t="str">
            <v>Component Ideal Liquid Volume Flow</v>
          </cell>
        </row>
        <row r="32">
          <cell r="A32" t="str">
            <v>Actual Volume Flow</v>
          </cell>
          <cell r="B32" t="str">
            <v>Component Ideal Liquid Volume Flow</v>
          </cell>
          <cell r="D32" t="str">
            <v>Component Ideal Liquid Volume Fraction</v>
          </cell>
        </row>
        <row r="33">
          <cell r="A33" t="str">
            <v>Avg Liq Density</v>
          </cell>
          <cell r="B33" t="str">
            <v>Component Ideal Liquid Volume Fraction</v>
          </cell>
          <cell r="D33" t="str">
            <v>Component Mass Flow</v>
          </cell>
        </row>
        <row r="34">
          <cell r="A34" t="str">
            <v>Black Oil - Heat Capacity</v>
          </cell>
          <cell r="B34" t="str">
            <v>Component Mass Flow</v>
          </cell>
          <cell r="D34" t="str">
            <v>Component Mass Fraction</v>
          </cell>
        </row>
        <row r="35">
          <cell r="A35" t="str">
            <v>Black Oil - Mass Density</v>
          </cell>
          <cell r="B35" t="str">
            <v>Component Mass Fraction</v>
          </cell>
          <cell r="D35" t="str">
            <v>Component Molar Flow</v>
          </cell>
        </row>
        <row r="36">
          <cell r="A36" t="str">
            <v>Black Oil - Mass Flow Rate</v>
          </cell>
          <cell r="B36" t="str">
            <v>Component Molar Flow</v>
          </cell>
          <cell r="D36" t="str">
            <v>Component Molar Fraction</v>
          </cell>
        </row>
        <row r="37">
          <cell r="A37" t="str">
            <v>Black Oil - Mass Fraction</v>
          </cell>
          <cell r="B37" t="str">
            <v>Component Molar Fraction</v>
          </cell>
          <cell r="D37" t="str">
            <v>Compressibility</v>
          </cell>
        </row>
        <row r="38">
          <cell r="A38" t="str">
            <v>Black Oil - Oil Formation Volume Factor</v>
          </cell>
          <cell r="B38" t="str">
            <v>Compressibility</v>
          </cell>
          <cell r="D38" t="str">
            <v>Cp/Cv (Gamma)</v>
          </cell>
        </row>
        <row r="39">
          <cell r="A39" t="str">
            <v>Black Oil - Solution GOR</v>
          </cell>
          <cell r="B39" t="str">
            <v>Cp/Cv (Gamma)</v>
          </cell>
          <cell r="D39" t="str">
            <v>Heat Flow</v>
          </cell>
        </row>
        <row r="40">
          <cell r="A40" t="str">
            <v>Black Oil - Visc. Coeff. A</v>
          </cell>
          <cell r="B40" t="str">
            <v>Heat Flow</v>
          </cell>
          <cell r="D40" t="str">
            <v>Is At Equilibrium</v>
          </cell>
        </row>
        <row r="41">
          <cell r="A41" t="str">
            <v>Black Oil - Visc. Coeff. B</v>
          </cell>
          <cell r="B41" t="str">
            <v>Is At Equilibrium</v>
          </cell>
          <cell r="D41" t="str">
            <v>Is Valid</v>
          </cell>
        </row>
        <row r="42">
          <cell r="A42" t="str">
            <v>Black Oil - Viscosity</v>
          </cell>
          <cell r="B42" t="str">
            <v>Is Valid</v>
          </cell>
          <cell r="D42" t="str">
            <v>K Value</v>
          </cell>
        </row>
        <row r="43">
          <cell r="A43" t="str">
            <v>Black Oil - Vol. Fraction</v>
          </cell>
          <cell r="B43" t="str">
            <v>Kinematic Viscosity</v>
          </cell>
          <cell r="D43" t="str">
            <v>Kinematic Viscosity</v>
          </cell>
        </row>
        <row r="44">
          <cell r="A44" t="str">
            <v>Black Oil - Volumetric Flow</v>
          </cell>
          <cell r="B44" t="str">
            <v>Liquid Mass Density @Std Cond</v>
          </cell>
          <cell r="D44" t="str">
            <v>Liquid Mass Density @Std Cond</v>
          </cell>
        </row>
        <row r="45">
          <cell r="A45" t="str">
            <v>Case Name</v>
          </cell>
          <cell r="B45" t="str">
            <v>Liquid Vol Flow @Std Cond</v>
          </cell>
          <cell r="D45" t="str">
            <v>Liquid Vol Flow @Std Cond</v>
          </cell>
        </row>
        <row r="46">
          <cell r="A46" t="str">
            <v>Component Mass Flow</v>
          </cell>
          <cell r="B46" t="str">
            <v>Mass Density</v>
          </cell>
          <cell r="D46" t="str">
            <v>Mass Density</v>
          </cell>
        </row>
        <row r="47">
          <cell r="A47" t="str">
            <v>Component Mass Fraction</v>
          </cell>
          <cell r="B47" t="str">
            <v>Mass Enthalpy</v>
          </cell>
          <cell r="D47" t="str">
            <v>Mass Enthalpy</v>
          </cell>
        </row>
        <row r="48">
          <cell r="A48" t="str">
            <v>Component Molar Flow</v>
          </cell>
          <cell r="B48" t="str">
            <v>Mass Entropy</v>
          </cell>
          <cell r="D48" t="str">
            <v>Mass Entropy</v>
          </cell>
        </row>
        <row r="49">
          <cell r="A49" t="str">
            <v>Component Molar Fraction</v>
          </cell>
          <cell r="B49" t="str">
            <v>Mass Flow</v>
          </cell>
          <cell r="D49" t="str">
            <v>Mass Flow</v>
          </cell>
        </row>
        <row r="50">
          <cell r="A50" t="str">
            <v>Component Ideal Liquid Volume Flow</v>
          </cell>
          <cell r="B50" t="str">
            <v>Mass Flow (Dry Basis)</v>
          </cell>
          <cell r="D50" t="str">
            <v>Mass Flow (Dry Basis)</v>
          </cell>
        </row>
        <row r="51">
          <cell r="A51" t="str">
            <v>Component Ideal Liquid Volume Fraction</v>
          </cell>
          <cell r="B51" t="str">
            <v>Mass Heat Capacity</v>
          </cell>
          <cell r="D51" t="str">
            <v>Mass Heat Capacity</v>
          </cell>
        </row>
        <row r="52">
          <cell r="A52" t="str">
            <v>Compressibility</v>
          </cell>
          <cell r="B52" t="str">
            <v>Molar Density</v>
          </cell>
          <cell r="D52" t="str">
            <v>Molar Density</v>
          </cell>
        </row>
        <row r="53">
          <cell r="A53" t="str">
            <v>Cost Based on Flow</v>
          </cell>
          <cell r="B53" t="str">
            <v>Molar Enthalpy</v>
          </cell>
          <cell r="D53" t="str">
            <v>Molar Enthalpy</v>
          </cell>
        </row>
        <row r="54">
          <cell r="A54" t="str">
            <v>Cp/(Cp-R) (Ideal Gamma)</v>
          </cell>
          <cell r="B54" t="str">
            <v>Molar Entropy</v>
          </cell>
          <cell r="D54" t="str">
            <v>Molar Entropy</v>
          </cell>
        </row>
        <row r="55">
          <cell r="A55" t="str">
            <v>Cp/Cv (Ent Method)</v>
          </cell>
          <cell r="B55" t="str">
            <v>Molar Flow</v>
          </cell>
          <cell r="D55" t="str">
            <v>Molar Flow</v>
          </cell>
        </row>
        <row r="56">
          <cell r="A56" t="str">
            <v>Cp/Cv (Gamma)</v>
          </cell>
          <cell r="B56" t="str">
            <v>Molar Flow (Dry Basis)</v>
          </cell>
          <cell r="D56" t="str">
            <v>Molar Flow (Dry Basis)</v>
          </cell>
        </row>
        <row r="57">
          <cell r="A57" t="str">
            <v>Cv</v>
          </cell>
          <cell r="B57" t="str">
            <v>Molar Heat Capacity</v>
          </cell>
          <cell r="D57" t="str">
            <v>Molar Heat Capacity</v>
          </cell>
        </row>
        <row r="58">
          <cell r="A58" t="str">
            <v>Cv (Ent Method)</v>
          </cell>
          <cell r="B58" t="str">
            <v>Molar Volume</v>
          </cell>
          <cell r="D58" t="str">
            <v>Molar Volume</v>
          </cell>
        </row>
        <row r="59">
          <cell r="A59" t="str">
            <v>Cv (Semi-Ideal)</v>
          </cell>
          <cell r="B59" t="str">
            <v>Molecular Weight</v>
          </cell>
          <cell r="D59" t="str">
            <v>Molecular Weight</v>
          </cell>
        </row>
        <row r="60">
          <cell r="A60" t="str">
            <v>Description</v>
          </cell>
          <cell r="B60" t="str">
            <v>Name</v>
          </cell>
          <cell r="D60" t="str">
            <v>Name</v>
          </cell>
        </row>
        <row r="61">
          <cell r="A61" t="str">
            <v>Downstream Operation(s)</v>
          </cell>
          <cell r="B61" t="str">
            <v>Pressure</v>
          </cell>
          <cell r="D61" t="str">
            <v>Pressure</v>
          </cell>
        </row>
        <row r="62">
          <cell r="A62" t="str">
            <v>Electrolytes - Heat Capacity</v>
          </cell>
          <cell r="B62" t="str">
            <v>Pseudo Critical Pressure</v>
          </cell>
          <cell r="D62" t="str">
            <v>Pseudo Critical Pressure</v>
          </cell>
        </row>
        <row r="63">
          <cell r="A63" t="str">
            <v>Electrolytes - Ionic Strength</v>
          </cell>
          <cell r="B63" t="str">
            <v>Pseudo Critical Temperature</v>
          </cell>
          <cell r="D63" t="str">
            <v>Pseudo Critical Temperature</v>
          </cell>
        </row>
        <row r="64">
          <cell r="A64" t="str">
            <v>Electrolytes - Molar Electrical Conductivity</v>
          </cell>
          <cell r="B64" t="str">
            <v>Pseudo Critical Volume</v>
          </cell>
          <cell r="D64" t="str">
            <v>Pseudo Critical Volume</v>
          </cell>
        </row>
        <row r="65">
          <cell r="A65" t="str">
            <v>Electrolytes - Osmotic Pressure</v>
          </cell>
          <cell r="B65" t="str">
            <v>SG Air</v>
          </cell>
          <cell r="D65" t="str">
            <v>SG Air</v>
          </cell>
        </row>
        <row r="66">
          <cell r="A66" t="str">
            <v>Electrolytes - pH</v>
          </cell>
          <cell r="B66" t="str">
            <v>Specific Heat</v>
          </cell>
          <cell r="D66" t="str">
            <v>Specific Heat</v>
          </cell>
        </row>
        <row r="67">
          <cell r="A67" t="str">
            <v>Electrolytes - Specific Electrical Conductivity</v>
          </cell>
          <cell r="B67" t="str">
            <v>Standard Ideal Liquid Mass Density</v>
          </cell>
          <cell r="D67" t="str">
            <v>Standard Ideal Liquid Mass Density</v>
          </cell>
        </row>
        <row r="68">
          <cell r="A68" t="str">
            <v>Electrolytes - Viscosity</v>
          </cell>
          <cell r="B68" t="str">
            <v>Standard Ideal Liquid Mass Density (Dry Basis)</v>
          </cell>
          <cell r="D68" t="str">
            <v>Standard Ideal Liquid Mass Density (Dry Basis)</v>
          </cell>
        </row>
        <row r="69">
          <cell r="A69" t="str">
            <v>Flowsheet Name</v>
          </cell>
          <cell r="B69" t="str">
            <v>Standard Ideal Liquid Volume Flow</v>
          </cell>
          <cell r="D69" t="str">
            <v>Standard Ideal Liquid Volume Flow</v>
          </cell>
        </row>
        <row r="70">
          <cell r="A70" t="str">
            <v>Fluid Package</v>
          </cell>
          <cell r="B70" t="str">
            <v>Standard Ideal Liquid Volume Flow (Dry Basis)</v>
          </cell>
          <cell r="D70" t="str">
            <v>Standard Ideal Liquid Volume Flow (Dry Basis)</v>
          </cell>
        </row>
        <row r="71">
          <cell r="A71" t="str">
            <v>HC Dew Point (Gas)</v>
          </cell>
          <cell r="B71" t="str">
            <v>Std Gas Flow</v>
          </cell>
          <cell r="D71" t="str">
            <v>Std Gas Flow</v>
          </cell>
        </row>
        <row r="72">
          <cell r="A72" t="str">
            <v>Heat Flow</v>
          </cell>
          <cell r="B72" t="str">
            <v>Tagged Name</v>
          </cell>
          <cell r="D72" t="str">
            <v>Surface Tension</v>
          </cell>
        </row>
        <row r="73">
          <cell r="A73" t="str">
            <v>Heat Of Vapourisation</v>
          </cell>
          <cell r="B73" t="str">
            <v>Temperature</v>
          </cell>
          <cell r="D73" t="str">
            <v>Tagged Name</v>
          </cell>
        </row>
        <row r="74">
          <cell r="A74" t="str">
            <v>Heavy Liquid Fraction</v>
          </cell>
          <cell r="B74" t="str">
            <v>Thermal Conductivity</v>
          </cell>
          <cell r="D74" t="str">
            <v>Temperature</v>
          </cell>
        </row>
        <row r="75">
          <cell r="A75" t="str">
            <v>Higher Heating Value</v>
          </cell>
          <cell r="B75" t="str">
            <v>Type Name</v>
          </cell>
          <cell r="D75" t="str">
            <v>Thermal Conductivity</v>
          </cell>
        </row>
        <row r="76">
          <cell r="A76" t="str">
            <v>Higher Heating Value (Gas)</v>
          </cell>
          <cell r="B76" t="str">
            <v>Unique ID</v>
          </cell>
          <cell r="D76" t="str">
            <v>Type Name</v>
          </cell>
        </row>
        <row r="77">
          <cell r="A77" t="str">
            <v>Is Energy Stream</v>
          </cell>
          <cell r="B77" t="str">
            <v>Viscosity</v>
          </cell>
          <cell r="D77" t="str">
            <v>Unique ID</v>
          </cell>
        </row>
        <row r="78">
          <cell r="A78" t="str">
            <v>Is Valid</v>
          </cell>
          <cell r="B78" t="str">
            <v>Visible Type Name</v>
          </cell>
          <cell r="D78" t="str">
            <v>Viscosity</v>
          </cell>
        </row>
        <row r="79">
          <cell r="A79" t="str">
            <v>Kinematic Viscosity</v>
          </cell>
          <cell r="B79" t="str">
            <v>Watson K</v>
          </cell>
          <cell r="D79" t="str">
            <v>Visible Type Name</v>
          </cell>
        </row>
        <row r="80">
          <cell r="A80" t="str">
            <v>Light Liquid Fraction</v>
          </cell>
          <cell r="B80" t="str">
            <v>Z Factor</v>
          </cell>
          <cell r="D80" t="str">
            <v>Z Factor</v>
          </cell>
        </row>
        <row r="81">
          <cell r="A81" t="str">
            <v>Liq Vol Flow - Sum (Std Cond)</v>
          </cell>
        </row>
        <row r="82">
          <cell r="A82" t="str">
            <v>Liquid Fraction</v>
          </cell>
        </row>
        <row r="83">
          <cell r="A83" t="str">
            <v>Liquid Mass Density @Std Cond</v>
          </cell>
        </row>
        <row r="84">
          <cell r="A84" t="str">
            <v>Liquid Vol Flow @Std Cond</v>
          </cell>
        </row>
        <row r="85">
          <cell r="A85" t="str">
            <v>Lower Heat Value</v>
          </cell>
        </row>
        <row r="86">
          <cell r="A86" t="str">
            <v>Lower Heating Value (Gas)</v>
          </cell>
        </row>
        <row r="87">
          <cell r="A87" t="str">
            <v>Mass Cv</v>
          </cell>
        </row>
        <row r="88">
          <cell r="A88" t="str">
            <v>Mass Cv (Ent Method)</v>
          </cell>
        </row>
        <row r="89">
          <cell r="A89" t="str">
            <v>Mass Cv (Semi-Ideal)</v>
          </cell>
        </row>
        <row r="90">
          <cell r="A90" t="str">
            <v>Mass Density</v>
          </cell>
        </row>
        <row r="91">
          <cell r="A91" t="str">
            <v>Mass Density (Std Cond) (Gas)</v>
          </cell>
        </row>
        <row r="92">
          <cell r="A92" t="str">
            <v>Mass Enthalpy</v>
          </cell>
        </row>
        <row r="93">
          <cell r="A93" t="str">
            <v>Mass Entropy</v>
          </cell>
        </row>
        <row r="94">
          <cell r="A94" t="str">
            <v>Mass Flow</v>
          </cell>
        </row>
        <row r="95">
          <cell r="A95" t="str">
            <v>Mass Flow (Dry Basis)</v>
          </cell>
        </row>
        <row r="96">
          <cell r="A96" t="str">
            <v>Mass Heat Capacity</v>
          </cell>
        </row>
        <row r="97">
          <cell r="A97" t="str">
            <v>Mass Heat Of Vapourisation</v>
          </cell>
        </row>
        <row r="98">
          <cell r="A98" t="str">
            <v>Mass Higher Heating Value</v>
          </cell>
        </row>
        <row r="99">
          <cell r="A99" t="str">
            <v>Mass Lower Heating Value</v>
          </cell>
        </row>
        <row r="100">
          <cell r="A100" t="str">
            <v>Molar Density</v>
          </cell>
        </row>
        <row r="101">
          <cell r="A101" t="str">
            <v>Molar Enthalpy</v>
          </cell>
        </row>
        <row r="102">
          <cell r="A102" t="str">
            <v>Molar Entropy</v>
          </cell>
        </row>
        <row r="103">
          <cell r="A103" t="str">
            <v>Molar Flow</v>
          </cell>
        </row>
        <row r="104">
          <cell r="A104" t="str">
            <v>Molar Flow (Dry Basis)</v>
          </cell>
        </row>
        <row r="105">
          <cell r="A105" t="str">
            <v>Molar Heat Capacity</v>
          </cell>
        </row>
        <row r="106">
          <cell r="A106" t="str">
            <v>Molar Volume</v>
          </cell>
        </row>
        <row r="107">
          <cell r="A107" t="str">
            <v>Molecular Weight</v>
          </cell>
        </row>
        <row r="108">
          <cell r="A108" t="str">
            <v>Name</v>
          </cell>
        </row>
        <row r="109">
          <cell r="A109" t="str">
            <v>Notes</v>
          </cell>
        </row>
        <row r="110">
          <cell r="A110" t="str">
            <v>Partial Pressure of CO2</v>
          </cell>
        </row>
        <row r="111">
          <cell r="A111" t="str">
            <v>Partial Pressure of H2S</v>
          </cell>
        </row>
        <row r="112">
          <cell r="A112" t="str">
            <v>Phase Fraction (Mass Basis)</v>
          </cell>
        </row>
        <row r="113">
          <cell r="A113" t="str">
            <v>Phase Fraction (Molar Basis)</v>
          </cell>
        </row>
        <row r="114">
          <cell r="A114" t="str">
            <v>Phase Fraction (Vol. Basis)</v>
          </cell>
        </row>
        <row r="115">
          <cell r="A115" t="str">
            <v>Power</v>
          </cell>
        </row>
        <row r="116">
          <cell r="A116" t="str">
            <v>Property Package</v>
          </cell>
        </row>
        <row r="117">
          <cell r="A117" t="str">
            <v>Pressure</v>
          </cell>
        </row>
        <row r="118">
          <cell r="A118" t="str">
            <v>Pseudo Critical Pressure</v>
          </cell>
        </row>
        <row r="119">
          <cell r="A119" t="str">
            <v>Pseudo Critical Temperature</v>
          </cell>
        </row>
        <row r="120">
          <cell r="A120" t="str">
            <v>Pseudo Critical Volume</v>
          </cell>
        </row>
        <row r="121">
          <cell r="A121" t="str">
            <v>Reid VP at 37.8 C</v>
          </cell>
        </row>
        <row r="122">
          <cell r="A122" t="str">
            <v>RVP - API 5B1.1</v>
          </cell>
        </row>
        <row r="123">
          <cell r="A123" t="str">
            <v>RVP - API 5B1.2</v>
          </cell>
        </row>
        <row r="124">
          <cell r="A124" t="str">
            <v>RVP - ASTM D323-73/79</v>
          </cell>
        </row>
        <row r="125">
          <cell r="A125" t="str">
            <v>RVP - ASTM D323-82</v>
          </cell>
        </row>
        <row r="126">
          <cell r="A126" t="str">
            <v>RVP - ASTM D4953-91</v>
          </cell>
        </row>
        <row r="127">
          <cell r="A127" t="str">
            <v>RVP - ASTM D5191-91</v>
          </cell>
        </row>
        <row r="128">
          <cell r="A128" t="str">
            <v>SG Air</v>
          </cell>
        </row>
        <row r="129">
          <cell r="A129" t="str">
            <v>Specific Heat</v>
          </cell>
        </row>
        <row r="130">
          <cell r="A130" t="str">
            <v>Standard Ideal Liquid Mass Density</v>
          </cell>
        </row>
        <row r="131">
          <cell r="A131" t="str">
            <v>Standard Ideal Liquid Mass Density (Dry Basis)</v>
          </cell>
        </row>
        <row r="132">
          <cell r="A132" t="str">
            <v>Standard Ideal Liquid Volume Flow</v>
          </cell>
        </row>
        <row r="133">
          <cell r="A133" t="str">
            <v>Standard Ideal Liquid Volume Flow (Dry Basis)</v>
          </cell>
        </row>
        <row r="134">
          <cell r="A134" t="str">
            <v>Std Gas Flow</v>
          </cell>
        </row>
        <row r="135">
          <cell r="A135" t="str">
            <v>Surface Tension</v>
          </cell>
        </row>
        <row r="136">
          <cell r="A136" t="str">
            <v>Tagged Name</v>
          </cell>
        </row>
        <row r="137">
          <cell r="A137" t="str">
            <v>Temperature</v>
          </cell>
        </row>
        <row r="138">
          <cell r="A138" t="str">
            <v>Thermal Conductivity</v>
          </cell>
        </row>
        <row r="139">
          <cell r="A139" t="str">
            <v>True VP at 37.8 C</v>
          </cell>
        </row>
        <row r="140">
          <cell r="A140" t="str">
            <v>Type Name</v>
          </cell>
        </row>
        <row r="141">
          <cell r="A141" t="str">
            <v>Unique ID</v>
          </cell>
        </row>
        <row r="142">
          <cell r="A142" t="str">
            <v>Upstream Operation(s)</v>
          </cell>
        </row>
        <row r="143">
          <cell r="A143" t="str">
            <v>Vapour Fraction</v>
          </cell>
        </row>
        <row r="144">
          <cell r="A144" t="str">
            <v>Viscosity</v>
          </cell>
        </row>
        <row r="145">
          <cell r="A145" t="str">
            <v>Visible Type Name</v>
          </cell>
        </row>
        <row r="146">
          <cell r="A146" t="str">
            <v>Water Content In Mg/m3 (Gas)</v>
          </cell>
        </row>
        <row r="147">
          <cell r="A147" t="str">
            <v>Water Dew Point (Gas)</v>
          </cell>
        </row>
        <row r="148">
          <cell r="A148" t="str">
            <v>Watson K</v>
          </cell>
        </row>
        <row r="149">
          <cell r="A149" t="str">
            <v>Wobbe Index (Gas)</v>
          </cell>
        </row>
        <row r="150">
          <cell r="A150" t="str">
            <v>Z Factor</v>
          </cell>
        </row>
      </sheetData>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Valve"/>
      <sheetName val="Compressor"/>
      <sheetName val="PSEUDO_COMP"/>
      <sheetName val="Data"/>
      <sheetName val="PURE_COMP_DATA_HYSYS"/>
      <sheetName val="BINAR_INTERACTION_HYSYS"/>
      <sheetName val="ID"/>
    </sheetNames>
    <sheetDataSet>
      <sheetData sheetId="0">
        <row r="9">
          <cell r="C9" t="str">
            <v>SI</v>
          </cell>
        </row>
      </sheetData>
      <sheetData sheetId="1">
        <row r="3">
          <cell r="C3" t="str">
            <v>Composition</v>
          </cell>
        </row>
      </sheetData>
      <sheetData sheetId="2"/>
      <sheetData sheetId="3">
        <row r="4">
          <cell r="E4" t="str">
            <v>APL C7*</v>
          </cell>
        </row>
      </sheetData>
      <sheetData sheetId="4"/>
      <sheetData sheetId="5"/>
      <sheetData sheetId="6">
        <row r="4">
          <cell r="B4" t="str">
            <v>½</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PAGE"/>
      <sheetName val="PSV"/>
      <sheetName val="PSV_SS1"/>
      <sheetName val="PSV_V1"/>
      <sheetName val="PSV_V2"/>
      <sheetName val="PSV_V3-steam"/>
      <sheetName val="PSV_L1"/>
      <sheetName val="PSV_L2"/>
      <sheetName val="PSV_HEM"/>
      <sheetName val="PSV_FCH"/>
      <sheetName val="PSV_FCV"/>
      <sheetName val="PSV_HC1"/>
      <sheetName val="PSV_GFC"/>
      <sheetName val="PSV Lead pipe"/>
      <sheetName val="PSV_HC"/>
      <sheetName val="Tabel 2.2"/>
      <sheetName val="MacroBeregning"/>
    </sheetNames>
    <sheetDataSet>
      <sheetData sheetId="0"/>
      <sheetData sheetId="1"/>
      <sheetData sheetId="2"/>
      <sheetData sheetId="3"/>
      <sheetData sheetId="4">
        <row r="33">
          <cell r="G33">
            <v>1.3</v>
          </cell>
        </row>
        <row r="50">
          <cell r="G50">
            <v>0.6670343162757788</v>
          </cell>
        </row>
      </sheetData>
      <sheetData sheetId="5"/>
      <sheetData sheetId="6"/>
      <sheetData sheetId="7"/>
      <sheetData sheetId="8"/>
      <sheetData sheetId="9">
        <row r="35">
          <cell r="G35">
            <v>3</v>
          </cell>
        </row>
        <row r="36">
          <cell r="G36">
            <v>5</v>
          </cell>
        </row>
        <row r="37">
          <cell r="G37">
            <v>1</v>
          </cell>
        </row>
      </sheetData>
      <sheetData sheetId="10"/>
      <sheetData sheetId="11"/>
      <sheetData sheetId="12"/>
      <sheetData sheetId="13"/>
      <sheetData sheetId="14"/>
      <sheetData sheetId="15"/>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Page"/>
      <sheetName val="ToC"/>
      <sheetName val="Summary"/>
      <sheetName val="Checklist"/>
      <sheetName val="Attachments"/>
      <sheetName val="Cases"/>
      <sheetName val="Summary Sheet"/>
      <sheetName val="Design Cases"/>
      <sheetName val="Basis, Assumptions &amp; References"/>
      <sheetName val="1 - Exterior Fire (Heat Calc.)"/>
      <sheetName val="1 - Exterior Fire (PSV Sizing)"/>
      <sheetName val="1 - Blocked Outlet"/>
      <sheetName val="xlwings.conf"/>
      <sheetName val="PURE_COMPONENTS"/>
      <sheetName val="PSEUDO_COMPONENTS"/>
      <sheetName val="Attachment 1"/>
      <sheetName val="Attachment 2"/>
      <sheetName val="Attachment 3"/>
      <sheetName val="Attachment 4"/>
      <sheetName val="Attachment 5"/>
    </sheetNames>
    <sheetDataSet>
      <sheetData sheetId="0"/>
      <sheetData sheetId="1"/>
      <sheetData sheetId="2"/>
      <sheetData sheetId="3"/>
      <sheetData sheetId="4"/>
      <sheetData sheetId="5"/>
      <sheetData sheetId="6"/>
      <sheetData sheetId="7"/>
      <sheetData sheetId="8"/>
      <sheetData sheetId="9"/>
      <sheetData sheetId="10">
        <row r="27">
          <cell r="Q27">
            <v>5.17</v>
          </cell>
        </row>
        <row r="30">
          <cell r="Q30">
            <v>0</v>
          </cell>
        </row>
      </sheetData>
      <sheetData sheetId="11"/>
      <sheetData sheetId="12"/>
      <sheetData sheetId="13">
        <row r="2">
          <cell r="A2" t="str">
            <v>methane</v>
          </cell>
        </row>
      </sheetData>
      <sheetData sheetId="14"/>
      <sheetData sheetId="15"/>
      <sheetData sheetId="16"/>
      <sheetData sheetId="17"/>
      <sheetData sheetId="18"/>
      <sheetData sheetId="1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ver Page"/>
      <sheetName val="Calculation Checklist"/>
      <sheetName val="References-Assumptions"/>
      <sheetName val="Relief Cases Considered"/>
      <sheetName val="Fire Vapour Filled"/>
      <sheetName val="Fire Liquid Filled"/>
      <sheetName val="API2000 Fire"/>
      <sheetName val="API2000 Breath"/>
      <sheetName val="Blow By  Vap"/>
      <sheetName val="Blow By Liq"/>
      <sheetName val="Tube Rupture"/>
      <sheetName val="NRV"/>
      <sheetName val="Thermal Duty"/>
      <sheetName val="Liquid RV"/>
      <sheetName val="Vapour RV"/>
      <sheetName val="Steam RV"/>
      <sheetName val="HEM 2Phase RV"/>
      <sheetName val="Omega 2P RV"/>
      <sheetName val="Flashing RV"/>
      <sheetName val="RV Model"/>
      <sheetName val="Liquid BD"/>
      <sheetName val="Vapour BD"/>
      <sheetName val="Steam BD"/>
      <sheetName val="HEM 2Phase BD"/>
      <sheetName val="Two Phase BD"/>
      <sheetName val="Flashing BD"/>
      <sheetName val="BD Model"/>
      <sheetName val="Liquid DP"/>
      <sheetName val="Vapour DP"/>
      <sheetName val="2 Phase DP"/>
      <sheetName val="Blank Calc"/>
      <sheetName val="Blank Embed"/>
      <sheetName val="PRV Size Data"/>
      <sheetName val="Pipe Data"/>
      <sheetName val="Revision History"/>
      <sheetName val="Macro"/>
    </sheetNames>
    <sheetDataSet>
      <sheetData sheetId="0"/>
      <sheetData sheetId="1" refreshError="1">
        <row r="6">
          <cell r="K6">
            <v>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64FA3-350C-4EF5-94FD-2CED2EF8C456}">
  <sheetPr codeName="Sheet19">
    <tabColor rgb="FF92D050"/>
    <pageSetUpPr fitToPage="1"/>
  </sheetPr>
  <dimension ref="A1:Y149"/>
  <sheetViews>
    <sheetView showGridLines="0" defaultGridColor="0" view="pageBreakPreview" colorId="8" zoomScaleNormal="100" zoomScaleSheetLayoutView="100" workbookViewId="0">
      <selection activeCell="J28" sqref="J28"/>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1" ht="86.45"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1"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1" ht="12.75" customHeight="1" x14ac:dyDescent="0.2">
      <c r="A5" s="24" t="s">
        <v>106</v>
      </c>
      <c r="B5" s="25"/>
      <c r="C5" s="26"/>
      <c r="D5" s="25"/>
      <c r="E5" s="25"/>
      <c r="F5" s="25"/>
      <c r="G5" s="25"/>
      <c r="H5" s="25"/>
      <c r="I5" s="25"/>
      <c r="J5" s="25"/>
      <c r="K5" s="27"/>
      <c r="L5" s="8"/>
      <c r="M5" s="19"/>
      <c r="N5" s="164"/>
      <c r="O5" s="164"/>
      <c r="P5" s="164"/>
      <c r="Q5" s="8"/>
      <c r="R5" s="8"/>
      <c r="S5" s="8"/>
      <c r="T5" s="8"/>
    </row>
    <row r="6" spans="1:21"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1"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1"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99</v>
      </c>
    </row>
    <row r="15" spans="1:21"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c r="U15" s="20" t="s">
        <v>100</v>
      </c>
    </row>
    <row r="16" spans="1:21"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c r="U16" s="20" t="s">
        <v>101</v>
      </c>
    </row>
    <row r="17" spans="1:25" s="20" customFormat="1" ht="11.25" x14ac:dyDescent="0.2">
      <c r="A17" s="28"/>
      <c r="B17" s="20" t="s">
        <v>97</v>
      </c>
      <c r="E17" s="160" t="s">
        <v>99</v>
      </c>
      <c r="F17" s="160"/>
      <c r="G17" s="160"/>
      <c r="K17" s="30"/>
      <c r="L17" s="18"/>
      <c r="M17" s="153" t="s">
        <v>51</v>
      </c>
      <c r="N17" s="57"/>
      <c r="O17" s="157">
        <f t="shared" si="0"/>
        <v>0</v>
      </c>
      <c r="P17" s="18"/>
      <c r="Q17" s="18"/>
      <c r="R17" s="18" t="s">
        <v>66</v>
      </c>
      <c r="S17" s="18"/>
      <c r="T17" s="18" t="s">
        <v>59</v>
      </c>
    </row>
    <row r="18" spans="1:25" s="20" customFormat="1" ht="11.25" x14ac:dyDescent="0.2">
      <c r="A18" s="28"/>
      <c r="B18" s="20" t="s">
        <v>98</v>
      </c>
      <c r="E18" s="172">
        <v>0.35</v>
      </c>
      <c r="F18" s="173"/>
      <c r="G18" s="174"/>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60" t="s">
        <v>9</v>
      </c>
      <c r="C20" s="7"/>
      <c r="D20" s="7"/>
      <c r="E20" s="18"/>
      <c r="F20" s="18"/>
      <c r="G20" s="19" t="s">
        <v>70</v>
      </c>
      <c r="H20" s="60"/>
      <c r="I20" s="18"/>
      <c r="J20" s="18"/>
      <c r="K20" s="30"/>
      <c r="L20" s="18"/>
      <c r="M20" s="153" t="s">
        <v>53</v>
      </c>
      <c r="N20" s="57"/>
      <c r="O20" s="158">
        <f t="shared" si="0"/>
        <v>0</v>
      </c>
      <c r="P20" s="5"/>
      <c r="Q20" s="5"/>
      <c r="R20" s="5"/>
      <c r="S20" s="18"/>
      <c r="T20" s="18"/>
      <c r="U20" s="18"/>
      <c r="V20" s="18"/>
      <c r="W20" s="18"/>
      <c r="X20" s="58"/>
      <c r="Y20" s="18"/>
    </row>
    <row r="21" spans="1:25" s="20" customFormat="1" ht="11.25" x14ac:dyDescent="0.2">
      <c r="A21" s="28"/>
      <c r="B21" s="18" t="s">
        <v>38</v>
      </c>
      <c r="C21" s="18"/>
      <c r="D21" s="18"/>
      <c r="E21" s="61">
        <v>15</v>
      </c>
      <c r="F21" s="18" t="s">
        <v>12</v>
      </c>
      <c r="G21" s="58" t="s">
        <v>71</v>
      </c>
      <c r="H21" s="18"/>
      <c r="I21" s="74">
        <v>1.4346450608144481</v>
      </c>
      <c r="J21" s="18" t="s">
        <v>77</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18" t="s">
        <v>39</v>
      </c>
      <c r="C22" s="18"/>
      <c r="D22" s="18"/>
      <c r="E22" s="61">
        <v>300</v>
      </c>
      <c r="F22" s="18" t="s">
        <v>42</v>
      </c>
      <c r="G22" s="18" t="s">
        <v>102</v>
      </c>
      <c r="H22" s="18"/>
      <c r="I22" s="74">
        <v>22.452759497901756</v>
      </c>
      <c r="J22" s="58" t="s">
        <v>105</v>
      </c>
      <c r="K22" s="30"/>
      <c r="L22" s="18"/>
      <c r="M22" s="153" t="s">
        <v>55</v>
      </c>
      <c r="N22" s="57"/>
      <c r="O22" s="158">
        <f t="shared" si="0"/>
        <v>0</v>
      </c>
      <c r="P22" s="64"/>
      <c r="Q22" s="64"/>
      <c r="R22" s="64"/>
      <c r="S22" s="18"/>
      <c r="T22" s="18"/>
      <c r="U22" s="65"/>
      <c r="V22" s="18"/>
      <c r="W22" s="18"/>
    </row>
    <row r="23" spans="1:25" s="20" customFormat="1" ht="11.25" x14ac:dyDescent="0.2">
      <c r="A23" s="28"/>
      <c r="B23" s="58" t="s">
        <v>40</v>
      </c>
      <c r="C23" s="18"/>
      <c r="D23" s="18"/>
      <c r="E23" s="61">
        <v>10</v>
      </c>
      <c r="F23" s="18" t="s">
        <v>41</v>
      </c>
      <c r="G23" s="18" t="s">
        <v>103</v>
      </c>
      <c r="H23" s="60"/>
      <c r="I23" s="74">
        <v>0.37014194814390766</v>
      </c>
      <c r="J23" s="58" t="s">
        <v>110</v>
      </c>
      <c r="K23" s="63"/>
      <c r="L23" s="18"/>
      <c r="M23" s="153" t="s">
        <v>56</v>
      </c>
      <c r="N23" s="57"/>
      <c r="O23" s="158">
        <f t="shared" si="0"/>
        <v>0</v>
      </c>
      <c r="P23" s="55"/>
      <c r="Q23" s="66"/>
      <c r="R23" s="55"/>
      <c r="S23" s="18"/>
      <c r="T23" s="18"/>
      <c r="U23" s="18"/>
      <c r="V23" s="58"/>
      <c r="Y23" s="18"/>
    </row>
    <row r="24" spans="1:25" s="20" customFormat="1" ht="11.25" x14ac:dyDescent="0.2">
      <c r="A24" s="28"/>
      <c r="B24" s="58" t="s">
        <v>60</v>
      </c>
      <c r="C24" s="18"/>
      <c r="D24" s="18"/>
      <c r="E24" s="61">
        <v>90</v>
      </c>
      <c r="F24" s="58" t="s">
        <v>61</v>
      </c>
      <c r="G24" s="18" t="s">
        <v>111</v>
      </c>
      <c r="H24" s="62"/>
      <c r="I24" s="74">
        <v>0.95877383099358937</v>
      </c>
      <c r="J24" s="58" t="s">
        <v>104</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68</v>
      </c>
      <c r="C25" s="18"/>
      <c r="D25" s="18"/>
      <c r="E25" s="131">
        <v>1</v>
      </c>
      <c r="F25" s="18" t="s">
        <v>69</v>
      </c>
      <c r="G25" s="18"/>
      <c r="H25" s="58"/>
      <c r="I25" s="170"/>
      <c r="J25" s="58"/>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43</v>
      </c>
      <c r="C26" s="18"/>
      <c r="D26" s="18"/>
      <c r="E26" s="72">
        <v>15</v>
      </c>
      <c r="F26" s="18" t="s">
        <v>12</v>
      </c>
      <c r="G26" s="58"/>
      <c r="I26" s="170"/>
      <c r="J26" s="5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44</v>
      </c>
      <c r="C27" s="18"/>
      <c r="D27" s="18"/>
      <c r="E27" s="130">
        <v>1.0129999999999999</v>
      </c>
      <c r="F27" s="18" t="s">
        <v>42</v>
      </c>
      <c r="H27" s="18"/>
      <c r="I27" s="171"/>
      <c r="J27" s="18"/>
      <c r="K27" s="30"/>
      <c r="L27" s="18"/>
      <c r="M27" s="7"/>
      <c r="O27" s="149"/>
      <c r="P27" s="55"/>
      <c r="Q27" s="66"/>
      <c r="R27" s="55"/>
      <c r="S27" s="18"/>
      <c r="T27" s="58"/>
      <c r="U27" s="67"/>
      <c r="V27" s="58"/>
      <c r="W27" s="18"/>
      <c r="X27" s="18"/>
      <c r="Y27" s="18"/>
    </row>
    <row r="28" spans="1:25" s="20" customFormat="1" ht="11.25" x14ac:dyDescent="0.2">
      <c r="A28" s="28"/>
      <c r="B28" s="18" t="s">
        <v>107</v>
      </c>
      <c r="C28" s="18"/>
      <c r="D28" s="18"/>
      <c r="E28" s="72">
        <v>0</v>
      </c>
      <c r="F28" s="58"/>
      <c r="H28" s="18"/>
      <c r="I28" s="18"/>
      <c r="J28" s="18"/>
      <c r="K28" s="30"/>
      <c r="L28" s="18"/>
      <c r="M28" s="7"/>
      <c r="O28" s="149"/>
      <c r="P28" s="55"/>
      <c r="Q28" s="55"/>
      <c r="R28" s="55"/>
      <c r="S28" s="18"/>
      <c r="T28" s="18"/>
      <c r="U28" s="18"/>
      <c r="V28" s="58"/>
      <c r="W28" s="18"/>
      <c r="X28" s="18"/>
      <c r="Y28" s="18"/>
    </row>
    <row r="29" spans="1:25" s="20" customFormat="1" ht="11.25" x14ac:dyDescent="0.2">
      <c r="A29" s="28"/>
      <c r="B29" s="58" t="s">
        <v>108</v>
      </c>
      <c r="C29" s="18"/>
      <c r="D29" s="18"/>
      <c r="E29" s="72">
        <v>0</v>
      </c>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t="s">
        <v>109</v>
      </c>
      <c r="C30" s="18"/>
      <c r="D30" s="18"/>
      <c r="E30" s="72">
        <v>0</v>
      </c>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t="str">
        <f>IF(O67&gt;0,"Input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1.25" x14ac:dyDescent="0.2">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2" x14ac:dyDescent="0.2">
      <c r="A120" s="118"/>
      <c r="B120" s="34"/>
      <c r="C120" s="34"/>
      <c r="D120" s="34"/>
      <c r="E120" s="34"/>
      <c r="F120" s="34"/>
      <c r="G120" s="119"/>
      <c r="H120" s="34"/>
      <c r="I120" s="34"/>
      <c r="J120" s="34"/>
      <c r="K120" s="34"/>
      <c r="L120" s="94"/>
      <c r="M120" s="94"/>
      <c r="N120" s="94"/>
      <c r="O120" s="94"/>
      <c r="P120" s="94"/>
      <c r="Q120" s="94"/>
      <c r="R120" s="94"/>
      <c r="S120" s="94"/>
      <c r="T120" s="94"/>
    </row>
    <row r="121" spans="1:20" s="34" customFormat="1" ht="12.75" customHeight="1" x14ac:dyDescent="0.2">
      <c r="A121" s="118"/>
      <c r="G121" s="119"/>
      <c r="L121" s="31"/>
      <c r="M121" s="31"/>
      <c r="N121" s="31"/>
      <c r="O121" s="31"/>
      <c r="P121" s="31"/>
      <c r="Q121" s="31"/>
      <c r="R121" s="31"/>
      <c r="S121" s="31"/>
      <c r="T121" s="31"/>
    </row>
    <row r="122" spans="1:20" s="34" customFormat="1" ht="12.75" customHeight="1" x14ac:dyDescent="0.2">
      <c r="A122" s="118"/>
      <c r="G122" s="119"/>
      <c r="L122" s="31"/>
      <c r="M122" s="31"/>
      <c r="N122" s="31"/>
      <c r="O122" s="31"/>
      <c r="P122" s="31"/>
      <c r="Q122" s="31"/>
      <c r="R122" s="31"/>
      <c r="S122" s="31"/>
      <c r="T122" s="31"/>
    </row>
    <row r="123" spans="1:20" s="34" customFormat="1" ht="12.75" customHeight="1" x14ac:dyDescent="0.2">
      <c r="A123" s="118"/>
      <c r="G123" s="119"/>
      <c r="L123" s="31"/>
      <c r="M123" s="31"/>
      <c r="N123" s="31"/>
      <c r="O123" s="31"/>
      <c r="P123" s="31"/>
      <c r="Q123" s="31"/>
      <c r="R123" s="31"/>
      <c r="S123" s="31"/>
      <c r="T123" s="31"/>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20"/>
      <c r="B145" s="9"/>
      <c r="C145" s="9"/>
      <c r="D145" s="9"/>
      <c r="E145" s="9"/>
      <c r="F145" s="9"/>
      <c r="G145" s="121"/>
      <c r="H145" s="9"/>
      <c r="I145" s="9"/>
      <c r="J145" s="9"/>
      <c r="K145" s="9"/>
      <c r="L145" s="31"/>
      <c r="M145" s="31"/>
      <c r="N145" s="31"/>
      <c r="O145" s="31"/>
      <c r="P145" s="31"/>
      <c r="Q145" s="31"/>
      <c r="R145" s="31"/>
      <c r="S145" s="31"/>
      <c r="T145" s="31"/>
    </row>
    <row r="146" spans="1:20" x14ac:dyDescent="0.2">
      <c r="L146" s="8"/>
      <c r="M146" s="8"/>
      <c r="N146" s="8"/>
      <c r="O146" s="8"/>
      <c r="P146" s="8"/>
      <c r="Q146" s="8"/>
      <c r="R146" s="8"/>
      <c r="S146" s="8"/>
      <c r="T146" s="8"/>
    </row>
    <row r="147" spans="1:20" x14ac:dyDescent="0.2">
      <c r="L147" s="8"/>
      <c r="M147" s="8"/>
      <c r="N147" s="8"/>
      <c r="O147" s="8"/>
      <c r="P147" s="8"/>
      <c r="Q147" s="8"/>
      <c r="R147" s="8"/>
      <c r="S147" s="8"/>
      <c r="T147" s="8"/>
    </row>
    <row r="148" spans="1:20" x14ac:dyDescent="0.2">
      <c r="L148" s="8"/>
      <c r="M148" s="8"/>
      <c r="N148" s="8"/>
      <c r="O148" s="8"/>
      <c r="P148" s="8"/>
      <c r="Q148" s="8"/>
      <c r="R148" s="8"/>
      <c r="S148" s="8"/>
      <c r="T148" s="8"/>
    </row>
    <row r="149" spans="1:20" x14ac:dyDescent="0.2">
      <c r="L149" s="8"/>
      <c r="M149" s="8"/>
      <c r="N149" s="8"/>
      <c r="O149" s="8"/>
      <c r="P149" s="8"/>
      <c r="Q149" s="8"/>
      <c r="R149" s="8"/>
      <c r="S149" s="8"/>
      <c r="T149" s="8"/>
    </row>
  </sheetData>
  <sheetProtection formatCells="0"/>
  <mergeCells count="10">
    <mergeCell ref="E16:G16"/>
    <mergeCell ref="F73:I73"/>
    <mergeCell ref="E17:G17"/>
    <mergeCell ref="E18:G18"/>
    <mergeCell ref="A3:I3"/>
    <mergeCell ref="N3:P3"/>
    <mergeCell ref="N4:P4"/>
    <mergeCell ref="N5:P5"/>
    <mergeCell ref="B12:J12"/>
    <mergeCell ref="E15:G15"/>
  </mergeCells>
  <conditionalFormatting sqref="K26">
    <cfRule type="expression" dxfId="5" priority="2" stopIfTrue="1">
      <formula>$E$16&lt;&gt;"Pilot Remote Sensing Line"</formula>
    </cfRule>
  </conditionalFormatting>
  <dataValidations count="6">
    <dataValidation type="list" allowBlank="1" showInputMessage="1" showErrorMessage="1" sqref="N4:P4" xr:uid="{60D65828-01B0-4220-A4EA-403F6151EF34}">
      <formula1>"Adiabatic Flash,Isentropic Flash, Liquid HEM"</formula1>
    </dataValidation>
    <dataValidation type="list" allowBlank="1" showInputMessage="1" showErrorMessage="1" sqref="J15" xr:uid="{ABBC3CF2-7C7D-4150-8850-3F4A96B86F8C}">
      <formula1>"Gas Relief, Steam relief"</formula1>
    </dataValidation>
    <dataValidation type="list" allowBlank="1" showInputMessage="1" showErrorMessage="1" sqref="N5" xr:uid="{C4F51987-B793-47E2-8906-E02C10A7FC4B}">
      <formula1>"EOS, COSTALD"</formula1>
    </dataValidation>
    <dataValidation type="list" allowBlank="1" showInputMessage="1" showErrorMessage="1" sqref="E16:G16" xr:uid="{CB843612-0C60-4F57-B899-4728775AA006}">
      <formula1>$T$14:$T$17</formula1>
    </dataValidation>
    <dataValidation type="list" allowBlank="1" showInputMessage="1" showErrorMessage="1" sqref="E15:G15" xr:uid="{607D9E3B-93D9-4EA8-93C4-F1216353606D}">
      <formula1>$R$14:$R$18</formula1>
    </dataValidation>
    <dataValidation type="list" allowBlank="1" showInputMessage="1" showErrorMessage="1" sqref="E17:G17" xr:uid="{CC5DFB4D-AA8C-42AE-A607-5D411A80C628}">
      <formula1>$U$14:$U$16</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no:&amp;RPage &amp;P of &amp;N</oddFooter>
  </headerFooter>
  <rowBreaks count="1" manualBreakCount="1">
    <brk id="64" max="10" man="1"/>
  </rowBreaks>
  <drawing r:id="rId2"/>
  <legacyDrawing r:id="rId3"/>
  <controls>
    <mc:AlternateContent xmlns:mc="http://schemas.openxmlformats.org/markup-compatibility/2006">
      <mc:Choice Requires="x14">
        <control shapeId="7176" r:id="rId4" name="CommandButton1">
          <controlPr defaultSize="0" autoLine="0" r:id="rId5">
            <anchor moveWithCells="1">
              <from>
                <xdr:col>7</xdr:col>
                <xdr:colOff>390525</xdr:colOff>
                <xdr:row>11</xdr:row>
                <xdr:rowOff>104775</xdr:rowOff>
              </from>
              <to>
                <xdr:col>10</xdr:col>
                <xdr:colOff>19050</xdr:colOff>
                <xdr:row>14</xdr:row>
                <xdr:rowOff>47625</xdr:rowOff>
              </to>
            </anchor>
          </controlPr>
        </control>
      </mc:Choice>
      <mc:Fallback>
        <control shapeId="7176" r:id="rId4" name="CommandButton1"/>
      </mc:Fallback>
    </mc:AlternateContent>
    <mc:AlternateContent xmlns:mc="http://schemas.openxmlformats.org/markup-compatibility/2006">
      <mc:Choice Requires="x14">
        <control shapeId="7169" r:id="rId6"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7170" r:id="rId7"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C3EC-00FB-421E-866B-3F13910DF9A5}">
  <sheetPr codeName="Sheet18">
    <tabColor rgb="FF92D050"/>
    <pageSetUpPr fitToPage="1"/>
  </sheetPr>
  <dimension ref="A1:Y150"/>
  <sheetViews>
    <sheetView showGridLines="0" defaultGridColor="0" view="pageBreakPreview" colorId="8" zoomScaleNormal="100" zoomScaleSheetLayoutView="100" workbookViewId="0">
      <selection activeCell="J51" sqref="J51"/>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0" ht="86.45"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0"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0" ht="12.75" customHeight="1" x14ac:dyDescent="0.2">
      <c r="A5" s="24" t="s">
        <v>84</v>
      </c>
      <c r="B5" s="25"/>
      <c r="C5" s="26"/>
      <c r="D5" s="25"/>
      <c r="E5" s="25"/>
      <c r="F5" s="25"/>
      <c r="G5" s="25"/>
      <c r="H5" s="25"/>
      <c r="I5" s="25"/>
      <c r="J5" s="25"/>
      <c r="K5" s="27"/>
      <c r="L5" s="8"/>
      <c r="M5" s="19"/>
      <c r="N5" s="164"/>
      <c r="O5" s="164"/>
      <c r="P5" s="164"/>
      <c r="Q5" s="8"/>
      <c r="R5" s="8"/>
      <c r="S5" s="8"/>
      <c r="T5" s="8"/>
    </row>
    <row r="6" spans="1:20"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0"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0"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row>
    <row r="15" spans="1:20"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row>
    <row r="16" spans="1:20" s="20" customFormat="1" ht="11.25" x14ac:dyDescent="0.2">
      <c r="A16" s="28"/>
      <c r="B16" s="7" t="s">
        <v>46</v>
      </c>
      <c r="C16" s="7"/>
      <c r="D16" s="7"/>
      <c r="E16" s="160" t="s">
        <v>49</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K17" s="30"/>
      <c r="L17" s="18"/>
      <c r="M17" s="153" t="s">
        <v>51</v>
      </c>
      <c r="N17" s="57"/>
      <c r="O17" s="157">
        <f t="shared" si="0"/>
        <v>0</v>
      </c>
      <c r="P17" s="18"/>
      <c r="Q17" s="18"/>
      <c r="R17" s="18" t="s">
        <v>66</v>
      </c>
      <c r="S17" s="18"/>
      <c r="T17" s="18" t="s">
        <v>59</v>
      </c>
    </row>
    <row r="18" spans="1:25" s="20" customFormat="1" ht="11.25"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18" t="s">
        <v>38</v>
      </c>
      <c r="C19" s="18"/>
      <c r="D19" s="18"/>
      <c r="E19" s="61">
        <v>15</v>
      </c>
      <c r="F19" s="18" t="s">
        <v>12</v>
      </c>
      <c r="G19" s="58" t="s">
        <v>71</v>
      </c>
      <c r="H19" s="18"/>
      <c r="I19" s="74">
        <v>3.4902385506950537</v>
      </c>
      <c r="J19" s="18" t="s">
        <v>77</v>
      </c>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39</v>
      </c>
      <c r="C20" s="18"/>
      <c r="D20" s="18"/>
      <c r="E20" s="61">
        <v>200</v>
      </c>
      <c r="F20" s="18" t="s">
        <v>42</v>
      </c>
      <c r="G20" s="18" t="s">
        <v>91</v>
      </c>
      <c r="H20" s="18"/>
      <c r="I20" s="169">
        <v>511592.12765903503</v>
      </c>
      <c r="J20" s="58" t="s">
        <v>92</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58" t="s">
        <v>40</v>
      </c>
      <c r="C21" s="18"/>
      <c r="D21" s="18"/>
      <c r="E21" s="61">
        <v>10</v>
      </c>
      <c r="F21" s="18" t="s">
        <v>41</v>
      </c>
      <c r="G21" s="18" t="s">
        <v>93</v>
      </c>
      <c r="H21" s="60"/>
      <c r="I21" s="169">
        <v>37110.368313844352</v>
      </c>
      <c r="J21" s="58" t="s">
        <v>96</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60</v>
      </c>
      <c r="C22" s="18"/>
      <c r="D22" s="18"/>
      <c r="E22" s="61">
        <v>90</v>
      </c>
      <c r="F22" s="58" t="s">
        <v>61</v>
      </c>
      <c r="G22" s="18" t="s">
        <v>94</v>
      </c>
      <c r="H22" s="62"/>
      <c r="I22" s="168">
        <v>27.830732405993093</v>
      </c>
      <c r="J22" s="58" t="s">
        <v>78</v>
      </c>
      <c r="K22" s="30"/>
      <c r="L22" s="18"/>
      <c r="M22" s="153" t="s">
        <v>55</v>
      </c>
      <c r="N22" s="57"/>
      <c r="O22" s="158">
        <f t="shared" si="0"/>
        <v>0</v>
      </c>
      <c r="P22" s="64"/>
      <c r="Q22" s="64"/>
      <c r="R22" s="64"/>
      <c r="S22" s="18"/>
      <c r="T22" s="18"/>
      <c r="U22" s="65"/>
      <c r="V22" s="18"/>
      <c r="W22" s="18"/>
    </row>
    <row r="23" spans="1:25" s="20" customFormat="1" ht="11.25" x14ac:dyDescent="0.2">
      <c r="A23" s="28"/>
      <c r="B23" s="18" t="s">
        <v>68</v>
      </c>
      <c r="C23" s="18"/>
      <c r="D23" s="18"/>
      <c r="E23" s="131">
        <v>1</v>
      </c>
      <c r="F23" s="18" t="s">
        <v>69</v>
      </c>
      <c r="G23" s="18" t="s">
        <v>95</v>
      </c>
      <c r="H23" s="58"/>
      <c r="I23" s="74">
        <v>0.2126523317808986</v>
      </c>
      <c r="J23" s="58" t="s">
        <v>69</v>
      </c>
      <c r="K23" s="63"/>
      <c r="L23" s="18"/>
      <c r="M23" s="153" t="s">
        <v>56</v>
      </c>
      <c r="N23" s="57"/>
      <c r="O23" s="158">
        <f t="shared" si="0"/>
        <v>0</v>
      </c>
      <c r="P23" s="55"/>
      <c r="Q23" s="66"/>
      <c r="R23" s="55"/>
      <c r="S23" s="18"/>
      <c r="T23" s="18"/>
      <c r="U23" s="18"/>
      <c r="V23" s="58"/>
      <c r="Y23" s="18"/>
    </row>
    <row r="24" spans="1:25" s="20" customFormat="1" ht="11.25" x14ac:dyDescent="0.2">
      <c r="A24" s="28"/>
      <c r="B24" s="18" t="s">
        <v>43</v>
      </c>
      <c r="C24" s="18"/>
      <c r="D24" s="18"/>
      <c r="E24" s="72">
        <v>15</v>
      </c>
      <c r="F24" s="18" t="s">
        <v>12</v>
      </c>
      <c r="G24" s="58"/>
      <c r="I24" s="170"/>
      <c r="J24" s="58"/>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44</v>
      </c>
      <c r="C25" s="18"/>
      <c r="D25" s="18"/>
      <c r="E25" s="130">
        <v>1.0129999999999999</v>
      </c>
      <c r="F25" s="18" t="s">
        <v>42</v>
      </c>
      <c r="H25" s="18"/>
      <c r="I25" s="171"/>
      <c r="J25" s="18"/>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62</v>
      </c>
      <c r="C26" s="18"/>
      <c r="D26" s="18"/>
      <c r="E26" s="72">
        <v>0.93</v>
      </c>
      <c r="F26" s="58" t="s">
        <v>90</v>
      </c>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85</v>
      </c>
      <c r="C27" s="18"/>
      <c r="D27" s="18"/>
      <c r="E27" s="72">
        <v>0</v>
      </c>
      <c r="F27" s="67" t="s">
        <v>89</v>
      </c>
      <c r="G27" s="58"/>
      <c r="H27" s="18" t="s">
        <v>10</v>
      </c>
      <c r="I27" s="18"/>
      <c r="J27" s="68"/>
      <c r="K27" s="30"/>
      <c r="L27" s="18"/>
      <c r="M27" s="7"/>
      <c r="O27" s="149"/>
      <c r="P27" s="55"/>
      <c r="Q27" s="66"/>
      <c r="R27" s="55"/>
      <c r="S27" s="18"/>
      <c r="T27" s="58"/>
      <c r="U27" s="67"/>
      <c r="V27" s="58"/>
      <c r="W27" s="18"/>
      <c r="X27" s="18"/>
      <c r="Y27" s="18"/>
    </row>
    <row r="28" spans="1:25" s="20" customFormat="1" ht="11.25" x14ac:dyDescent="0.2">
      <c r="A28" s="28"/>
      <c r="B28" s="7" t="s">
        <v>86</v>
      </c>
      <c r="C28" s="18"/>
      <c r="D28" s="18"/>
      <c r="E28" s="72">
        <v>1</v>
      </c>
      <c r="F28" s="129" t="s">
        <v>78</v>
      </c>
      <c r="G28" s="18"/>
      <c r="H28" s="18"/>
      <c r="I28" s="18"/>
      <c r="J28" s="69"/>
      <c r="K28" s="30"/>
      <c r="L28" s="18"/>
      <c r="M28" s="7"/>
      <c r="O28" s="149"/>
      <c r="P28" s="55"/>
      <c r="Q28" s="55"/>
      <c r="R28" s="55"/>
      <c r="S28" s="18"/>
      <c r="T28" s="18"/>
      <c r="U28" s="18"/>
      <c r="V28" s="58"/>
      <c r="W28" s="18"/>
      <c r="X28" s="18"/>
      <c r="Y28" s="18"/>
    </row>
    <row r="29" spans="1:25" s="20" customFormat="1" ht="11.25" x14ac:dyDescent="0.2">
      <c r="A29" s="28"/>
      <c r="B29" s="58" t="s">
        <v>87</v>
      </c>
      <c r="C29" s="18"/>
      <c r="D29" s="18"/>
      <c r="E29" s="72">
        <v>20</v>
      </c>
      <c r="F29" s="20" t="s">
        <v>78</v>
      </c>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t="s">
        <v>88</v>
      </c>
      <c r="C30" s="18"/>
      <c r="D30" s="18"/>
      <c r="E30" s="72">
        <v>0</v>
      </c>
      <c r="F30" s="20" t="s">
        <v>78</v>
      </c>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t="str">
        <f>IF(O68&gt;0,"Input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c r="C58" s="18"/>
      <c r="D58" s="18"/>
      <c r="E58" s="18"/>
      <c r="G58" s="18"/>
      <c r="H58" s="18"/>
      <c r="I58" s="18"/>
      <c r="J58" s="18"/>
      <c r="K58" s="30"/>
      <c r="L58" s="85"/>
      <c r="M58" s="7"/>
      <c r="N58" s="148"/>
      <c r="O58" s="62"/>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43"/>
      <c r="B64" s="44"/>
      <c r="C64" s="44"/>
      <c r="D64" s="44"/>
      <c r="E64" s="44"/>
      <c r="F64" s="87"/>
      <c r="G64" s="44"/>
      <c r="H64" s="44"/>
      <c r="I64" s="44"/>
      <c r="J64" s="44"/>
      <c r="K64" s="45"/>
      <c r="L64" s="85"/>
      <c r="M64" s="85"/>
      <c r="N64" s="88"/>
      <c r="O64" s="62"/>
      <c r="P64" s="36"/>
      <c r="Q64" s="36"/>
      <c r="R64" s="36"/>
      <c r="S64" s="36"/>
      <c r="T64" s="36"/>
      <c r="U64" s="80"/>
      <c r="V64" s="18"/>
      <c r="W64" s="18"/>
      <c r="X64" s="83"/>
      <c r="Y64" s="58"/>
    </row>
    <row r="65" spans="1:25" s="20" customFormat="1" ht="11.25" x14ac:dyDescent="0.2">
      <c r="A65" s="125"/>
      <c r="B65" s="126"/>
      <c r="C65" s="126"/>
      <c r="D65" s="126"/>
      <c r="E65" s="126"/>
      <c r="F65" s="126"/>
      <c r="G65" s="126"/>
      <c r="H65" s="127"/>
      <c r="I65" s="126"/>
      <c r="J65" s="126"/>
      <c r="K65" s="128"/>
      <c r="L65" s="85"/>
      <c r="M65" s="85"/>
      <c r="N65" s="88"/>
      <c r="O65" s="62"/>
      <c r="P65" s="36"/>
      <c r="Q65" s="36"/>
      <c r="R65" s="36"/>
      <c r="S65" s="36"/>
      <c r="T65" s="36"/>
      <c r="U65" s="80"/>
      <c r="V65" s="18"/>
      <c r="W65" s="18"/>
      <c r="X65" s="83"/>
      <c r="Y65" s="58"/>
    </row>
    <row r="66" spans="1:25" s="90" customFormat="1" ht="11.25" x14ac:dyDescent="0.2">
      <c r="A66" s="91"/>
      <c r="B66" s="92"/>
      <c r="C66" s="92"/>
      <c r="D66" s="92"/>
      <c r="E66" s="92"/>
      <c r="F66" s="92"/>
      <c r="G66" s="92"/>
      <c r="H66" s="92"/>
      <c r="I66" s="92"/>
      <c r="J66" s="92"/>
      <c r="K66" s="93"/>
      <c r="L66" s="94"/>
      <c r="M66" s="94"/>
      <c r="N66" s="94"/>
      <c r="O66" s="94"/>
      <c r="P66" s="94"/>
      <c r="Q66" s="94"/>
      <c r="R66" s="94"/>
      <c r="S66" s="94"/>
      <c r="T66" s="94"/>
    </row>
    <row r="67" spans="1:25" s="20" customFormat="1" ht="11.25" x14ac:dyDescent="0.2">
      <c r="A67" s="91"/>
      <c r="C67" s="95"/>
      <c r="D67" s="96"/>
      <c r="E67" s="95"/>
      <c r="F67" s="95"/>
      <c r="G67" s="95"/>
      <c r="H67" s="95"/>
      <c r="I67" s="95"/>
      <c r="J67" s="95"/>
      <c r="K67" s="93"/>
      <c r="L67" s="18"/>
      <c r="N67" s="18"/>
      <c r="O67" s="18"/>
      <c r="P67" s="18"/>
      <c r="Q67" s="18"/>
      <c r="R67" s="18"/>
      <c r="S67" s="18"/>
      <c r="T67" s="18"/>
    </row>
    <row r="68" spans="1:25" s="20" customFormat="1" ht="11.25" x14ac:dyDescent="0.2">
      <c r="A68" s="91"/>
      <c r="B68" s="95"/>
      <c r="C68" s="95"/>
      <c r="D68" s="95"/>
      <c r="E68" s="95"/>
      <c r="F68" s="95"/>
      <c r="G68" s="95"/>
      <c r="H68" s="95"/>
      <c r="I68" s="95"/>
      <c r="J68" s="95"/>
      <c r="K68" s="93"/>
      <c r="L68" s="18"/>
      <c r="M68" s="18" t="s">
        <v>16</v>
      </c>
      <c r="N68" s="18"/>
      <c r="O68" s="18">
        <f>COUNTIF(O69:O85,"Error!")</f>
        <v>1</v>
      </c>
      <c r="P68" s="18"/>
      <c r="Q68" s="18"/>
      <c r="R68" s="18"/>
      <c r="S68" s="18"/>
      <c r="T68" s="18"/>
    </row>
    <row r="69" spans="1:25" s="20" customFormat="1" ht="11.25" x14ac:dyDescent="0.2">
      <c r="A69" s="91"/>
      <c r="C69" s="95"/>
      <c r="D69" s="95"/>
      <c r="E69" s="95"/>
      <c r="F69" s="97"/>
      <c r="G69" s="95"/>
      <c r="H69" s="95"/>
      <c r="I69" s="95"/>
      <c r="J69" s="95"/>
      <c r="K69" s="93"/>
      <c r="L69" s="18"/>
      <c r="M69" s="18" t="e">
        <f>GAS_API_MET</f>
        <v>#NAME?</v>
      </c>
      <c r="N69" s="18" t="s">
        <v>8</v>
      </c>
      <c r="O69" s="98" t="e">
        <f>IF(M69=N69,"","Error!")</f>
        <v>#NAME?</v>
      </c>
      <c r="P69" s="18"/>
      <c r="Q69" s="18"/>
      <c r="R69" s="18"/>
      <c r="S69" s="18"/>
      <c r="T69" s="18"/>
    </row>
    <row r="70" spans="1:25" s="20" customFormat="1" ht="11.25" x14ac:dyDescent="0.2">
      <c r="A70" s="91"/>
      <c r="B70" s="95"/>
      <c r="C70" s="95"/>
      <c r="D70" s="95"/>
      <c r="E70" s="95"/>
      <c r="F70" s="95"/>
      <c r="G70" s="95"/>
      <c r="H70" s="95"/>
      <c r="I70" s="95"/>
      <c r="J70" s="95"/>
      <c r="K70" s="93"/>
      <c r="L70" s="18"/>
      <c r="M70" s="18" t="str">
        <f>E16</f>
        <v>CH4</v>
      </c>
      <c r="N70" s="18" t="s">
        <v>17</v>
      </c>
      <c r="O70" s="98" t="str">
        <f t="shared" ref="O70:O85" si="1">IF(M70=N70,"","Error!")</f>
        <v>Error!</v>
      </c>
      <c r="P70" s="18"/>
      <c r="Q70" s="18"/>
      <c r="R70" s="18"/>
      <c r="S70" s="18"/>
      <c r="T70" s="18"/>
    </row>
    <row r="71" spans="1:25" s="20" customFormat="1" ht="11.25" x14ac:dyDescent="0.2">
      <c r="A71" s="99"/>
      <c r="B71" s="95"/>
      <c r="C71" s="95"/>
      <c r="D71" s="7"/>
      <c r="E71" s="95"/>
      <c r="F71" s="100"/>
      <c r="G71" s="18"/>
      <c r="H71" s="18"/>
      <c r="I71" s="18"/>
      <c r="J71" s="95"/>
      <c r="K71" s="101"/>
      <c r="L71" s="18"/>
      <c r="M71" s="18" t="e">
        <f>#REF!</f>
        <v>#REF!</v>
      </c>
      <c r="N71" s="18" t="s">
        <v>18</v>
      </c>
      <c r="O71" s="98" t="e">
        <f t="shared" si="1"/>
        <v>#REF!</v>
      </c>
      <c r="P71" s="18"/>
      <c r="Q71" s="18"/>
      <c r="R71" s="18"/>
      <c r="S71" s="18"/>
      <c r="T71" s="18"/>
    </row>
    <row r="72" spans="1:25" s="20" customFormat="1" ht="11.25" x14ac:dyDescent="0.2">
      <c r="A72" s="99"/>
      <c r="B72" s="95"/>
      <c r="C72" s="95"/>
      <c r="D72" s="7"/>
      <c r="E72" s="95"/>
      <c r="F72" s="100"/>
      <c r="G72" s="18"/>
      <c r="H72" s="18"/>
      <c r="I72" s="18"/>
      <c r="J72" s="95"/>
      <c r="K72" s="101"/>
      <c r="L72" s="18"/>
      <c r="M72" s="18"/>
      <c r="N72" s="18"/>
      <c r="O72" s="98" t="str">
        <f t="shared" si="1"/>
        <v/>
      </c>
      <c r="P72" s="18"/>
      <c r="Q72" s="18"/>
      <c r="R72" s="18"/>
      <c r="S72" s="18"/>
      <c r="T72" s="18"/>
    </row>
    <row r="73" spans="1:25" s="20" customFormat="1" ht="10.5" customHeight="1" x14ac:dyDescent="0.2">
      <c r="A73" s="99"/>
      <c r="B73" s="92"/>
      <c r="C73" s="18"/>
      <c r="D73" s="18"/>
      <c r="E73" s="18"/>
      <c r="F73" s="18"/>
      <c r="G73" s="18"/>
      <c r="H73" s="18"/>
      <c r="I73" s="18"/>
      <c r="J73" s="92"/>
      <c r="K73" s="93"/>
      <c r="L73" s="18"/>
      <c r="M73" s="18" t="e">
        <f>GAS_MASS_FLOW</f>
        <v>#NAME?</v>
      </c>
      <c r="N73" s="18">
        <v>50000</v>
      </c>
      <c r="O73" s="98" t="e">
        <f t="shared" si="1"/>
        <v>#NAME?</v>
      </c>
      <c r="P73" s="18"/>
      <c r="Q73" s="18"/>
      <c r="R73" s="18"/>
      <c r="S73" s="18"/>
      <c r="T73" s="18"/>
    </row>
    <row r="74" spans="1:25" s="20" customFormat="1" ht="11.25" x14ac:dyDescent="0.2">
      <c r="A74" s="99"/>
      <c r="B74" s="92"/>
      <c r="C74" s="97"/>
      <c r="D74" s="97"/>
      <c r="E74" s="18"/>
      <c r="F74" s="161"/>
      <c r="G74" s="161"/>
      <c r="H74" s="161"/>
      <c r="I74" s="161"/>
      <c r="J74" s="92"/>
      <c r="K74" s="93"/>
      <c r="L74" s="18"/>
      <c r="M74" s="18" t="e">
        <f>GAS_SET_P</f>
        <v>#NAME?</v>
      </c>
      <c r="N74" s="18">
        <v>10</v>
      </c>
      <c r="O74" s="98" t="e">
        <f t="shared" si="1"/>
        <v>#NAME?</v>
      </c>
      <c r="P74" s="18"/>
      <c r="Q74" s="18"/>
      <c r="R74" s="18"/>
      <c r="S74" s="18"/>
      <c r="T74" s="18"/>
    </row>
    <row r="75" spans="1:25" s="20" customFormat="1" ht="10.5" customHeight="1" x14ac:dyDescent="0.2">
      <c r="A75" s="99"/>
      <c r="B75" s="92"/>
      <c r="C75" s="97"/>
      <c r="D75" s="97"/>
      <c r="E75" s="18"/>
      <c r="F75" s="97"/>
      <c r="G75" s="97"/>
      <c r="H75" s="97"/>
      <c r="I75" s="97"/>
      <c r="J75" s="92"/>
      <c r="K75" s="93"/>
      <c r="L75" s="18"/>
      <c r="M75" s="18" t="e">
        <f>GAS_REL_P</f>
        <v>#NAME?</v>
      </c>
      <c r="N75" s="18">
        <v>12.013525</v>
      </c>
      <c r="O75" s="98" t="e">
        <f t="shared" si="1"/>
        <v>#NAME?</v>
      </c>
      <c r="P75" s="18"/>
      <c r="Q75" s="18"/>
      <c r="R75" s="18"/>
      <c r="S75" s="18"/>
      <c r="T75" s="18"/>
    </row>
    <row r="76" spans="1:25" s="20" customFormat="1" ht="11.25" x14ac:dyDescent="0.2">
      <c r="A76" s="99"/>
      <c r="B76" s="92"/>
      <c r="C76" s="7"/>
      <c r="D76" s="18"/>
      <c r="E76" s="18"/>
      <c r="F76" s="102"/>
      <c r="G76" s="102"/>
      <c r="H76" s="102"/>
      <c r="I76" s="102"/>
      <c r="J76" s="92"/>
      <c r="K76" s="93"/>
      <c r="L76" s="18"/>
      <c r="M76" s="18" t="e">
        <f>GAS_ALLOWANCE</f>
        <v>#NAME?</v>
      </c>
      <c r="N76" s="18">
        <v>10</v>
      </c>
      <c r="O76" s="98" t="e">
        <f t="shared" si="1"/>
        <v>#NAME?</v>
      </c>
      <c r="P76" s="18"/>
      <c r="Q76" s="18"/>
      <c r="R76" s="18"/>
      <c r="S76" s="18"/>
      <c r="T76" s="18"/>
    </row>
    <row r="77" spans="1:25" s="20" customFormat="1" ht="11.25" x14ac:dyDescent="0.2">
      <c r="A77" s="99"/>
      <c r="B77" s="92"/>
      <c r="C77" s="7"/>
      <c r="D77" s="18"/>
      <c r="E77" s="18"/>
      <c r="F77" s="102"/>
      <c r="G77" s="102"/>
      <c r="H77" s="102"/>
      <c r="I77" s="102"/>
      <c r="J77" s="92"/>
      <c r="K77" s="93"/>
      <c r="L77" s="18"/>
      <c r="M77" s="18" t="e">
        <f>GAS_BACK_P</f>
        <v>#NAME?</v>
      </c>
      <c r="N77" s="18">
        <v>1</v>
      </c>
      <c r="O77" s="98" t="e">
        <f t="shared" si="1"/>
        <v>#NAME?</v>
      </c>
      <c r="P77" s="18"/>
      <c r="Q77" s="18"/>
      <c r="R77" s="18"/>
      <c r="S77" s="18"/>
      <c r="T77" s="18"/>
    </row>
    <row r="78" spans="1:25" s="20" customFormat="1" ht="11.25" x14ac:dyDescent="0.2">
      <c r="A78" s="99"/>
      <c r="B78" s="92"/>
      <c r="C78" s="7"/>
      <c r="D78" s="18"/>
      <c r="E78" s="18"/>
      <c r="F78" s="102"/>
      <c r="G78" s="102"/>
      <c r="H78" s="102"/>
      <c r="I78" s="102"/>
      <c r="J78" s="92"/>
      <c r="K78" s="93"/>
      <c r="L78" s="18"/>
      <c r="M78" s="18" t="e">
        <f>GAS_DP_LEAD</f>
        <v>#NAME?</v>
      </c>
      <c r="N78" s="18">
        <v>0</v>
      </c>
      <c r="O78" s="98" t="e">
        <f t="shared" si="1"/>
        <v>#NAME?</v>
      </c>
      <c r="P78" s="18"/>
      <c r="Q78" s="18"/>
      <c r="R78" s="18"/>
      <c r="S78" s="18"/>
      <c r="T78" s="18"/>
    </row>
    <row r="79" spans="1:25" s="20" customFormat="1" ht="11.25" x14ac:dyDescent="0.2">
      <c r="A79" s="99"/>
      <c r="B79" s="92"/>
      <c r="C79" s="7"/>
      <c r="D79" s="18"/>
      <c r="E79" s="18"/>
      <c r="F79" s="102"/>
      <c r="G79" s="102"/>
      <c r="H79" s="102"/>
      <c r="I79" s="102"/>
      <c r="J79" s="92"/>
      <c r="K79" s="93"/>
      <c r="L79" s="18"/>
      <c r="M79" s="18" t="e">
        <f>GAS_T_OPR</f>
        <v>#NAME?</v>
      </c>
      <c r="N79" s="18">
        <v>100</v>
      </c>
      <c r="O79" s="98" t="e">
        <f t="shared" si="1"/>
        <v>#NAME?</v>
      </c>
      <c r="P79" s="18"/>
      <c r="Q79" s="18"/>
      <c r="R79" s="18"/>
      <c r="S79" s="18"/>
      <c r="T79" s="18"/>
    </row>
    <row r="80" spans="1:25" s="20" customFormat="1" ht="11.25" x14ac:dyDescent="0.2">
      <c r="A80" s="99"/>
      <c r="B80" s="92"/>
      <c r="C80" s="7"/>
      <c r="D80" s="18"/>
      <c r="E80" s="18"/>
      <c r="F80" s="102"/>
      <c r="G80" s="102"/>
      <c r="H80" s="102"/>
      <c r="I80" s="102"/>
      <c r="J80" s="92"/>
      <c r="K80" s="93"/>
      <c r="L80" s="18"/>
      <c r="M80" s="18" t="e">
        <f>GAS_KD</f>
        <v>#REF!</v>
      </c>
      <c r="N80" s="18">
        <v>0.97499999999999998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GAS_MW</f>
        <v>#REF!</v>
      </c>
      <c r="N81" s="18">
        <v>18.146446999999998</v>
      </c>
      <c r="O81" s="98" t="e">
        <f t="shared" si="1"/>
        <v>#REF!</v>
      </c>
      <c r="P81" s="18"/>
      <c r="Q81" s="18"/>
      <c r="R81" s="18"/>
      <c r="S81" s="18"/>
      <c r="T81" s="18"/>
    </row>
    <row r="82" spans="1:20" s="20" customFormat="1" ht="11.25" x14ac:dyDescent="0.2">
      <c r="A82" s="99"/>
      <c r="B82" s="92"/>
      <c r="C82" s="7"/>
      <c r="D82" s="18"/>
      <c r="E82" s="18"/>
      <c r="F82" s="102"/>
      <c r="G82" s="102"/>
      <c r="H82" s="102"/>
      <c r="I82" s="102"/>
      <c r="J82" s="92"/>
      <c r="K82" s="93"/>
      <c r="L82" s="18"/>
      <c r="M82" s="18" t="e">
        <f>GAS_K</f>
        <v>#NAME?</v>
      </c>
      <c r="N82" s="18">
        <v>1.2415030009857573</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GAS_INSTALL_AREA</f>
        <v>#NAME?</v>
      </c>
      <c r="N83" s="18">
        <v>324.51547999999997</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GAS_ORI_INSTALL</f>
        <v>#NAME?</v>
      </c>
      <c r="N84" s="18" t="s">
        <v>19</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M85" s="18" t="e">
        <f>GAS_Z</f>
        <v>#NAME?</v>
      </c>
      <c r="N85" s="18">
        <v>0.98461520202104991</v>
      </c>
      <c r="O85" s="98" t="e">
        <f t="shared" si="1"/>
        <v>#NAME?</v>
      </c>
      <c r="P85" s="18"/>
      <c r="Q85" s="18"/>
      <c r="R85" s="18"/>
      <c r="S85" s="18"/>
      <c r="T85" s="18"/>
    </row>
    <row r="86" spans="1:20" s="20" customFormat="1" ht="11.25" x14ac:dyDescent="0.2">
      <c r="A86" s="99"/>
      <c r="B86" s="92"/>
      <c r="C86" s="7"/>
      <c r="D86" s="18"/>
      <c r="E86" s="18"/>
      <c r="F86" s="102"/>
      <c r="G86" s="102"/>
      <c r="H86" s="102"/>
      <c r="I86" s="102"/>
      <c r="J86" s="92"/>
      <c r="K86" s="93"/>
      <c r="L86" s="18"/>
      <c r="N86" s="18"/>
      <c r="O86" s="18"/>
      <c r="P86" s="18"/>
      <c r="Q86" s="18"/>
      <c r="R86" s="18"/>
      <c r="S86" s="18"/>
      <c r="T86" s="18"/>
    </row>
    <row r="87" spans="1:20" s="20" customFormat="1" ht="11.25" x14ac:dyDescent="0.2">
      <c r="A87" s="99"/>
      <c r="B87" s="92"/>
      <c r="C87" s="7"/>
      <c r="D87" s="18"/>
      <c r="E87" s="18"/>
      <c r="F87" s="102"/>
      <c r="G87" s="102"/>
      <c r="H87" s="102"/>
      <c r="I87" s="102"/>
      <c r="J87" s="92"/>
      <c r="K87" s="93"/>
      <c r="L87" s="18"/>
      <c r="M87" s="18" t="s">
        <v>20</v>
      </c>
      <c r="N87" s="18" t="s">
        <v>20</v>
      </c>
      <c r="O87" s="18">
        <f>COUNTIF(O88:O99,"Error!")</f>
        <v>0</v>
      </c>
      <c r="P87" s="18"/>
      <c r="Q87" s="18"/>
      <c r="R87" s="18"/>
      <c r="S87" s="18"/>
      <c r="T87" s="18"/>
    </row>
    <row r="88" spans="1:20" s="20" customFormat="1" ht="11.25" x14ac:dyDescent="0.2">
      <c r="A88" s="99"/>
      <c r="B88" s="92"/>
      <c r="C88" s="7"/>
      <c r="D88" s="18"/>
      <c r="E88" s="18"/>
      <c r="F88" s="102"/>
      <c r="G88" s="102"/>
      <c r="H88" s="102"/>
      <c r="I88" s="102"/>
      <c r="J88" s="92"/>
      <c r="K88" s="93"/>
      <c r="L88" s="18"/>
      <c r="M88" s="18" t="e">
        <f>GAS_KB</f>
        <v>#NAME?</v>
      </c>
      <c r="N88" s="18">
        <v>1</v>
      </c>
      <c r="O88" s="98" t="e">
        <f t="shared" ref="O88:O99" si="2">IF(M88=N88,"","Error!")</f>
        <v>#NAME?</v>
      </c>
      <c r="P88" s="18"/>
      <c r="Q88" s="18"/>
      <c r="R88" s="18"/>
      <c r="S88" s="18"/>
      <c r="T88" s="18"/>
    </row>
    <row r="89" spans="1:20" s="20" customFormat="1" ht="11.25" x14ac:dyDescent="0.2">
      <c r="A89" s="99"/>
      <c r="B89" s="92"/>
      <c r="C89" s="7"/>
      <c r="D89" s="18"/>
      <c r="E89" s="18"/>
      <c r="F89" s="102"/>
      <c r="G89" s="102"/>
      <c r="H89" s="102"/>
      <c r="I89" s="102"/>
      <c r="J89" s="92"/>
      <c r="K89" s="93"/>
      <c r="L89" s="18"/>
      <c r="M89" s="18" t="e">
        <f>GAS_KC</f>
        <v>#NAME?</v>
      </c>
      <c r="N89" s="18">
        <v>1</v>
      </c>
      <c r="O89" s="98" t="e">
        <f t="shared" si="2"/>
        <v>#NAME?</v>
      </c>
      <c r="P89" s="18"/>
      <c r="Q89" s="18"/>
      <c r="R89" s="18"/>
      <c r="S89" s="18"/>
      <c r="T89" s="18"/>
    </row>
    <row r="90" spans="1:20" s="20" customFormat="1" ht="11.25" x14ac:dyDescent="0.2">
      <c r="A90" s="99"/>
      <c r="B90" s="92"/>
      <c r="C90" s="7"/>
      <c r="D90" s="7"/>
      <c r="E90" s="18"/>
      <c r="F90" s="102"/>
      <c r="G90" s="102"/>
      <c r="H90" s="102"/>
      <c r="I90" s="102"/>
      <c r="J90" s="92"/>
      <c r="K90" s="93"/>
      <c r="L90" s="18"/>
      <c r="M90" s="18" t="e">
        <f>GAS_K_N</f>
        <v>#NAME?</v>
      </c>
      <c r="N90" s="18" t="s">
        <v>13</v>
      </c>
      <c r="O90" s="98" t="e">
        <f t="shared" si="2"/>
        <v>#NAME?</v>
      </c>
      <c r="P90" s="18"/>
      <c r="Q90" s="18"/>
      <c r="R90" s="18"/>
      <c r="S90" s="18"/>
      <c r="T90" s="18"/>
    </row>
    <row r="91" spans="1:20" s="20" customFormat="1" ht="11.25" x14ac:dyDescent="0.2">
      <c r="A91" s="99"/>
      <c r="B91" s="92"/>
      <c r="C91" s="7"/>
      <c r="D91" s="18"/>
      <c r="E91" s="18"/>
      <c r="F91" s="102"/>
      <c r="G91" s="102"/>
      <c r="H91" s="102"/>
      <c r="I91" s="102"/>
      <c r="J91" s="92"/>
      <c r="K91" s="93"/>
      <c r="L91" s="18"/>
      <c r="M91" s="18" t="e">
        <f>GAS_K_SH</f>
        <v>#NAME?</v>
      </c>
      <c r="N91" s="18" t="s">
        <v>13</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GAS_FLOW_REGIME</f>
        <v>#NAME?</v>
      </c>
      <c r="N92" s="18" t="s">
        <v>14</v>
      </c>
      <c r="O92" s="98" t="e">
        <f t="shared" si="2"/>
        <v>#NAME?</v>
      </c>
      <c r="P92" s="18"/>
      <c r="Q92" s="18"/>
      <c r="R92" s="18"/>
      <c r="S92" s="18"/>
      <c r="T92" s="18"/>
    </row>
    <row r="93" spans="1:20" s="20" customFormat="1" ht="11.25" x14ac:dyDescent="0.2">
      <c r="A93" s="99"/>
      <c r="B93" s="92"/>
      <c r="C93" s="7"/>
      <c r="D93" s="18"/>
      <c r="E93" s="18"/>
      <c r="F93" s="103"/>
      <c r="G93" s="103"/>
      <c r="H93" s="103"/>
      <c r="I93" s="103"/>
      <c r="J93" s="92"/>
      <c r="K93" s="93"/>
      <c r="L93" s="18"/>
      <c r="M93" s="18" t="e">
        <f>GAS_AREA</f>
        <v>#NAME?</v>
      </c>
      <c r="N93" s="18">
        <v>7411.1018339629481</v>
      </c>
      <c r="O93" s="98" t="e">
        <f t="shared" si="2"/>
        <v>#NAME?</v>
      </c>
      <c r="P93" s="18"/>
      <c r="Q93" s="18"/>
      <c r="R93" s="18"/>
      <c r="S93" s="18"/>
      <c r="T93" s="18"/>
    </row>
    <row r="94" spans="1:20" s="20" customFormat="1" ht="11.25" x14ac:dyDescent="0.2">
      <c r="A94" s="99"/>
      <c r="B94" s="92"/>
      <c r="C94" s="7"/>
      <c r="D94" s="7"/>
      <c r="E94" s="18"/>
      <c r="F94" s="102"/>
      <c r="G94" s="102"/>
      <c r="H94" s="102"/>
      <c r="I94" s="102"/>
      <c r="J94" s="92"/>
      <c r="K94" s="93"/>
      <c r="L94" s="18"/>
      <c r="M94" s="18">
        <v>2.6315789473684202E-2</v>
      </c>
      <c r="N94" s="18">
        <v>2.6315789473684202E-2</v>
      </c>
      <c r="O94" s="98" t="str">
        <f t="shared" si="2"/>
        <v/>
      </c>
      <c r="P94" s="18"/>
      <c r="Q94" s="18"/>
      <c r="R94" s="18"/>
      <c r="S94" s="18"/>
      <c r="T94" s="18"/>
    </row>
    <row r="95" spans="1:20" s="20" customFormat="1" ht="11.25" x14ac:dyDescent="0.2">
      <c r="A95" s="99"/>
      <c r="B95" s="92"/>
      <c r="C95" s="7"/>
      <c r="D95" s="7"/>
      <c r="E95" s="18"/>
      <c r="F95" s="102"/>
      <c r="G95" s="102"/>
      <c r="H95" s="102"/>
      <c r="I95" s="102"/>
      <c r="J95" s="92"/>
      <c r="K95" s="93"/>
      <c r="L95" s="18"/>
      <c r="M95" s="18" t="e">
        <f>GAS_ORI_A</f>
        <v>#NAME?</v>
      </c>
      <c r="N95" s="18">
        <v>10322.56</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GAS_RATED</f>
        <v>#NAME?</v>
      </c>
      <c r="N96" s="18">
        <v>69642.545948395127</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GAS_INSTALL_RATED</f>
        <v>#NAME?</v>
      </c>
      <c r="N97" s="18">
        <v>2189.3875382526712</v>
      </c>
      <c r="O97" s="98" t="e">
        <f t="shared" si="2"/>
        <v>#NAME?</v>
      </c>
      <c r="P97" s="18"/>
      <c r="Q97" s="18"/>
      <c r="R97" s="18"/>
      <c r="S97" s="18"/>
      <c r="T97" s="18"/>
    </row>
    <row r="98" spans="1:20" s="20" customFormat="1" ht="11.25" x14ac:dyDescent="0.2">
      <c r="A98" s="99"/>
      <c r="B98" s="92"/>
      <c r="C98" s="7"/>
      <c r="D98" s="18"/>
      <c r="E98" s="18"/>
      <c r="F98" s="103"/>
      <c r="G98" s="103"/>
      <c r="H98" s="103"/>
      <c r="I98" s="103"/>
      <c r="J98" s="92"/>
      <c r="K98" s="93"/>
      <c r="L98" s="18"/>
      <c r="M98" s="18" t="e">
        <f>GAS_T_VENT</f>
        <v>#NAME?</v>
      </c>
      <c r="N98" s="18">
        <v>96.374646282073684</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t="e">
        <f>GAS_F_TYPE</f>
        <v>#NAME?</v>
      </c>
      <c r="N99" s="18" t="s">
        <v>15</v>
      </c>
      <c r="O99" s="98" t="e">
        <f t="shared" si="2"/>
        <v>#NAME?</v>
      </c>
      <c r="P99" s="18"/>
      <c r="Q99" s="18"/>
      <c r="R99" s="18"/>
      <c r="S99" s="18"/>
      <c r="T99" s="18"/>
    </row>
    <row r="100" spans="1:20" s="20" customFormat="1" ht="11.25" x14ac:dyDescent="0.2">
      <c r="A100" s="99"/>
      <c r="B100" s="18"/>
      <c r="C100" s="7"/>
      <c r="D100" s="18"/>
      <c r="E100" s="18"/>
      <c r="F100" s="103"/>
      <c r="G100" s="103"/>
      <c r="H100" s="103"/>
      <c r="I100" s="103"/>
      <c r="J100" s="18"/>
      <c r="K100" s="93"/>
      <c r="L100" s="18"/>
      <c r="M100" s="18"/>
      <c r="N100" s="18"/>
      <c r="O100" s="18"/>
      <c r="P100" s="18"/>
      <c r="Q100" s="18"/>
      <c r="R100" s="18"/>
      <c r="S100" s="18"/>
      <c r="T100" s="18"/>
    </row>
    <row r="101" spans="1:20" s="20" customFormat="1" ht="11.25" x14ac:dyDescent="0.2">
      <c r="A101" s="99"/>
      <c r="B101" s="18"/>
      <c r="C101" s="7"/>
      <c r="D101" s="18"/>
      <c r="E101" s="18"/>
      <c r="F101" s="103"/>
      <c r="G101" s="103"/>
      <c r="H101" s="102"/>
      <c r="I101" s="102"/>
      <c r="J101" s="18"/>
      <c r="K101" s="93"/>
      <c r="L101" s="18"/>
      <c r="M101" s="18"/>
      <c r="N101" s="18"/>
      <c r="O101" s="18"/>
      <c r="P101" s="18"/>
      <c r="Q101" s="18"/>
      <c r="R101" s="18"/>
      <c r="S101" s="18"/>
      <c r="T101" s="18"/>
    </row>
    <row r="102" spans="1:20" s="20" customFormat="1" ht="11.25" x14ac:dyDescent="0.2">
      <c r="A102" s="99"/>
      <c r="B102" s="18"/>
      <c r="C102" s="7"/>
      <c r="D102" s="18"/>
      <c r="E102" s="18"/>
      <c r="F102" s="77"/>
      <c r="G102" s="77"/>
      <c r="H102" s="77"/>
      <c r="I102" s="77"/>
      <c r="J102" s="18"/>
      <c r="K102" s="93"/>
      <c r="L102" s="18"/>
      <c r="M102" s="18"/>
      <c r="N102" s="18"/>
      <c r="O102" s="18"/>
      <c r="P102" s="18"/>
      <c r="Q102" s="18"/>
      <c r="R102" s="18"/>
      <c r="S102" s="18"/>
      <c r="T102" s="18"/>
    </row>
    <row r="103" spans="1:20" s="20" customFormat="1" ht="11.25" x14ac:dyDescent="0.2">
      <c r="A103" s="99"/>
      <c r="B103" s="18"/>
      <c r="C103" s="18"/>
      <c r="D103" s="18"/>
      <c r="E103" s="18"/>
      <c r="F103" s="18"/>
      <c r="G103" s="18"/>
      <c r="H103" s="18"/>
      <c r="I103" s="18"/>
      <c r="J103" s="18"/>
      <c r="K103" s="93"/>
      <c r="L103" s="18"/>
      <c r="M103" s="18"/>
      <c r="N103" s="18"/>
      <c r="O103" s="18"/>
      <c r="P103" s="18"/>
      <c r="Q103" s="18"/>
      <c r="R103" s="18"/>
      <c r="S103" s="18"/>
      <c r="T103" s="18"/>
    </row>
    <row r="104" spans="1:20" s="20" customFormat="1" ht="11.25" x14ac:dyDescent="0.2">
      <c r="A104" s="99"/>
      <c r="B104" s="18"/>
      <c r="C104" s="92"/>
      <c r="D104" s="18"/>
      <c r="E104" s="104"/>
      <c r="F104" s="105"/>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6"/>
      <c r="G105" s="105"/>
      <c r="H105" s="105"/>
      <c r="I105" s="105"/>
      <c r="J105" s="18"/>
      <c r="K105" s="93"/>
      <c r="L105" s="18"/>
      <c r="M105" s="18"/>
      <c r="N105" s="18"/>
      <c r="O105" s="18"/>
      <c r="P105" s="18"/>
      <c r="Q105" s="18"/>
      <c r="R105" s="18"/>
      <c r="S105" s="18"/>
      <c r="T105" s="18"/>
    </row>
    <row r="106" spans="1:20" s="20" customFormat="1" ht="11.25" x14ac:dyDescent="0.2">
      <c r="A106" s="99"/>
      <c r="B106" s="18"/>
      <c r="C106" s="92"/>
      <c r="D106" s="18"/>
      <c r="E106" s="29"/>
      <c r="F106" s="107"/>
      <c r="G106" s="107"/>
      <c r="H106" s="107"/>
      <c r="I106" s="107"/>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9"/>
      <c r="H107" s="109"/>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08"/>
      <c r="H108" s="108"/>
      <c r="I108" s="108"/>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10"/>
      <c r="H109" s="110"/>
      <c r="I109" s="110"/>
      <c r="J109" s="18"/>
      <c r="K109" s="93"/>
      <c r="L109" s="18"/>
      <c r="M109" s="18"/>
      <c r="N109" s="18"/>
      <c r="O109" s="18"/>
      <c r="P109" s="18"/>
      <c r="Q109" s="18"/>
      <c r="R109" s="18"/>
      <c r="S109" s="18"/>
      <c r="T109" s="18"/>
    </row>
    <row r="110" spans="1:20" s="20" customFormat="1" ht="11.25" x14ac:dyDescent="0.2">
      <c r="A110" s="99"/>
      <c r="B110" s="18"/>
      <c r="C110" s="92"/>
      <c r="D110" s="18"/>
      <c r="E110" s="29"/>
      <c r="F110" s="108"/>
      <c r="G110" s="108"/>
      <c r="H110" s="108"/>
      <c r="I110" s="108"/>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18"/>
      <c r="C112" s="18"/>
      <c r="D112" s="18"/>
      <c r="E112" s="29"/>
      <c r="F112" s="106"/>
      <c r="G112" s="106"/>
      <c r="H112" s="106"/>
      <c r="I112" s="106"/>
      <c r="J112" s="18"/>
      <c r="K112" s="93"/>
      <c r="L112" s="18"/>
      <c r="M112" s="18"/>
      <c r="N112" s="18"/>
      <c r="O112" s="18"/>
      <c r="P112" s="18"/>
      <c r="Q112" s="18"/>
      <c r="R112" s="18"/>
      <c r="S112" s="18"/>
      <c r="T112" s="18"/>
    </row>
    <row r="113" spans="1:20" s="20" customFormat="1" ht="11.25" x14ac:dyDescent="0.2">
      <c r="A113" s="99"/>
      <c r="B113" s="92"/>
      <c r="C113" s="18"/>
      <c r="D113" s="18"/>
      <c r="E113" s="29"/>
      <c r="F113" s="106"/>
      <c r="G113" s="106"/>
      <c r="H113" s="106"/>
      <c r="I113" s="106"/>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18"/>
      <c r="D115" s="18"/>
      <c r="E115" s="29"/>
      <c r="F115" s="108"/>
      <c r="G115" s="108"/>
      <c r="H115" s="108"/>
      <c r="I115" s="108"/>
      <c r="J115" s="92"/>
      <c r="K115" s="93"/>
      <c r="L115" s="18"/>
      <c r="M115" s="18"/>
      <c r="N115" s="18"/>
      <c r="O115" s="18"/>
      <c r="P115" s="18"/>
      <c r="Q115" s="18"/>
      <c r="R115" s="18"/>
      <c r="S115" s="18"/>
      <c r="T115" s="18"/>
    </row>
    <row r="116" spans="1:20" s="20" customFormat="1" ht="11.25" x14ac:dyDescent="0.2">
      <c r="A116" s="99"/>
      <c r="B116" s="92"/>
      <c r="C116" s="18"/>
      <c r="D116" s="18"/>
      <c r="E116" s="29"/>
      <c r="F116" s="108"/>
      <c r="G116" s="111"/>
      <c r="H116" s="111"/>
      <c r="I116" s="111"/>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1.25" x14ac:dyDescent="0.2">
      <c r="A119" s="112"/>
      <c r="B119" s="113"/>
      <c r="C119" s="113"/>
      <c r="D119" s="113"/>
      <c r="E119" s="113"/>
      <c r="F119" s="113"/>
      <c r="G119" s="114"/>
      <c r="H119" s="113"/>
      <c r="I119" s="113"/>
      <c r="J119" s="113"/>
      <c r="K119" s="115"/>
      <c r="L119" s="18"/>
      <c r="M119" s="18"/>
      <c r="N119" s="18"/>
      <c r="O119" s="18"/>
      <c r="P119" s="18"/>
      <c r="Q119" s="18"/>
      <c r="R119" s="18"/>
      <c r="S119" s="18"/>
      <c r="T119" s="18"/>
    </row>
    <row r="120" spans="1:20" s="20" customFormat="1" ht="11.25" x14ac:dyDescent="0.2">
      <c r="A120" s="89"/>
      <c r="B120" s="116"/>
      <c r="C120" s="116"/>
      <c r="D120" s="116"/>
      <c r="E120" s="116"/>
      <c r="F120" s="116"/>
      <c r="G120" s="117"/>
      <c r="H120" s="116"/>
      <c r="I120" s="116"/>
      <c r="J120" s="116"/>
      <c r="K120" s="116"/>
      <c r="L120" s="18"/>
      <c r="M120" s="18"/>
      <c r="N120" s="18"/>
      <c r="O120" s="18"/>
      <c r="P120" s="18"/>
      <c r="Q120" s="18"/>
      <c r="R120" s="18"/>
      <c r="S120" s="18"/>
      <c r="T120" s="18"/>
    </row>
    <row r="121" spans="1:20" s="90" customFormat="1" ht="12" x14ac:dyDescent="0.2">
      <c r="A121" s="118"/>
      <c r="B121" s="34"/>
      <c r="C121" s="34"/>
      <c r="D121" s="34"/>
      <c r="E121" s="34"/>
      <c r="F121" s="34"/>
      <c r="G121" s="119"/>
      <c r="H121" s="34"/>
      <c r="I121" s="34"/>
      <c r="J121" s="34"/>
      <c r="K121" s="34"/>
      <c r="L121" s="94"/>
      <c r="M121" s="94"/>
      <c r="N121" s="94"/>
      <c r="O121" s="94"/>
      <c r="P121" s="94"/>
      <c r="Q121" s="94"/>
      <c r="R121" s="94"/>
      <c r="S121" s="94"/>
      <c r="T121" s="94"/>
    </row>
    <row r="122" spans="1:20" s="34" customFormat="1" ht="12.75" customHeight="1" x14ac:dyDescent="0.2">
      <c r="A122" s="118"/>
      <c r="G122" s="119"/>
      <c r="L122" s="31"/>
      <c r="M122" s="31"/>
      <c r="N122" s="31"/>
      <c r="O122" s="31"/>
      <c r="P122" s="31"/>
      <c r="Q122" s="31"/>
      <c r="R122" s="31"/>
      <c r="S122" s="31"/>
      <c r="T122" s="31"/>
    </row>
    <row r="123" spans="1:20" s="34" customFormat="1" ht="12.75" customHeight="1" x14ac:dyDescent="0.2">
      <c r="A123" s="118"/>
      <c r="G123" s="119"/>
      <c r="L123" s="31"/>
      <c r="M123" s="31"/>
      <c r="N123" s="31"/>
      <c r="O123" s="31"/>
      <c r="P123" s="31"/>
      <c r="Q123" s="31"/>
      <c r="R123" s="31"/>
      <c r="S123" s="31"/>
      <c r="T123" s="31"/>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18"/>
      <c r="G145" s="119"/>
      <c r="L145" s="31"/>
      <c r="M145" s="31"/>
      <c r="N145" s="31"/>
      <c r="O145" s="31"/>
      <c r="P145" s="31"/>
      <c r="Q145" s="31"/>
      <c r="R145" s="31"/>
      <c r="S145" s="31"/>
      <c r="T145" s="31"/>
    </row>
    <row r="146" spans="1:20" s="34" customFormat="1" ht="12.75" customHeight="1" x14ac:dyDescent="0.2">
      <c r="A146" s="120"/>
      <c r="B146" s="9"/>
      <c r="C146" s="9"/>
      <c r="D146" s="9"/>
      <c r="E146" s="9"/>
      <c r="F146" s="9"/>
      <c r="G146" s="121"/>
      <c r="H146" s="9"/>
      <c r="I146" s="9"/>
      <c r="J146" s="9"/>
      <c r="K146" s="9"/>
      <c r="L146" s="31"/>
      <c r="M146" s="31"/>
      <c r="N146" s="31"/>
      <c r="O146" s="31"/>
      <c r="P146" s="31"/>
      <c r="Q146" s="31"/>
      <c r="R146" s="31"/>
      <c r="S146" s="31"/>
      <c r="T146" s="31"/>
    </row>
    <row r="147" spans="1:20" x14ac:dyDescent="0.2">
      <c r="L147" s="8"/>
      <c r="M147" s="8"/>
      <c r="N147" s="8"/>
      <c r="O147" s="8"/>
      <c r="P147" s="8"/>
      <c r="Q147" s="8"/>
      <c r="R147" s="8"/>
      <c r="S147" s="8"/>
      <c r="T147" s="8"/>
    </row>
    <row r="148" spans="1:20" x14ac:dyDescent="0.2">
      <c r="L148" s="8"/>
      <c r="M148" s="8"/>
      <c r="N148" s="8"/>
      <c r="O148" s="8"/>
      <c r="P148" s="8"/>
      <c r="Q148" s="8"/>
      <c r="R148" s="8"/>
      <c r="S148" s="8"/>
      <c r="T148" s="8"/>
    </row>
    <row r="149" spans="1:20" x14ac:dyDescent="0.2">
      <c r="L149" s="8"/>
      <c r="M149" s="8"/>
      <c r="N149" s="8"/>
      <c r="O149" s="8"/>
      <c r="P149" s="8"/>
      <c r="Q149" s="8"/>
      <c r="R149" s="8"/>
      <c r="S149" s="8"/>
      <c r="T149" s="8"/>
    </row>
    <row r="150" spans="1:20" x14ac:dyDescent="0.2">
      <c r="L150" s="8"/>
      <c r="M150" s="8"/>
      <c r="N150" s="8"/>
      <c r="O150" s="8"/>
      <c r="P150" s="8"/>
      <c r="Q150" s="8"/>
      <c r="R150" s="8"/>
      <c r="S150" s="8"/>
      <c r="T150" s="8"/>
    </row>
  </sheetData>
  <sheetProtection formatCells="0"/>
  <mergeCells count="8">
    <mergeCell ref="E16:G16"/>
    <mergeCell ref="F74:I74"/>
    <mergeCell ref="A3:I3"/>
    <mergeCell ref="N3:P3"/>
    <mergeCell ref="N4:P4"/>
    <mergeCell ref="N5:P5"/>
    <mergeCell ref="B12:J12"/>
    <mergeCell ref="E15:G15"/>
  </mergeCells>
  <conditionalFormatting sqref="H27">
    <cfRule type="expression" dxfId="4" priority="1" stopIfTrue="1">
      <formula>$E$16&lt;&gt;"Pilot Remote Sensing Line"</formula>
    </cfRule>
  </conditionalFormatting>
  <conditionalFormatting sqref="K26">
    <cfRule type="expression" dxfId="3" priority="2" stopIfTrue="1">
      <formula>$E$16&lt;&gt;"Pilot Remote Sensing Line"</formula>
    </cfRule>
  </conditionalFormatting>
  <dataValidations count="5">
    <dataValidation type="list" allowBlank="1" showInputMessage="1" showErrorMessage="1" sqref="N4:P4" xr:uid="{08A4DD0E-2D6E-4951-8462-0786BF4C1FBD}">
      <formula1>"Adiabatic Flash,Isentropic Flash, Liquid HEM"</formula1>
    </dataValidation>
    <dataValidation type="list" allowBlank="1" showInputMessage="1" showErrorMessage="1" sqref="J15" xr:uid="{90655DAC-8FA4-4B38-9A11-00A1A815A12C}">
      <formula1>"Gas Relief, Steam relief"</formula1>
    </dataValidation>
    <dataValidation type="list" allowBlank="1" showInputMessage="1" showErrorMessage="1" sqref="N5" xr:uid="{0D2AAC97-8C62-4835-BEC0-02F5ABD2DCA1}">
      <formula1>"EOS, COSTALD"</formula1>
    </dataValidation>
    <dataValidation type="list" allowBlank="1" showInputMessage="1" showErrorMessage="1" sqref="E16:G16" xr:uid="{E422C191-BAF2-469A-A52E-CC9735AFA7E3}">
      <formula1>$T$14:$T$17</formula1>
    </dataValidation>
    <dataValidation type="list" allowBlank="1" showInputMessage="1" showErrorMessage="1" sqref="E15:G15" xr:uid="{934002B0-F9F3-48FD-A3C5-BFAF8D81537E}">
      <formula1>$R$14:$R$18</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5"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4098" r:id="rId5"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mc:AlternateContent xmlns:mc="http://schemas.openxmlformats.org/markup-compatibility/2006">
          <mc:Choice Requires="x14">
            <control shapeId="4104" r:id="rId6" name="Button 8">
              <controlPr defaultSize="0" print="0" autoFill="0" autoPict="0" macro="[0]!Sheet18.Run_Jet_Flame">
                <anchor moveWithCells="1" sizeWithCells="1">
                  <from>
                    <xdr:col>7</xdr:col>
                    <xdr:colOff>590550</xdr:colOff>
                    <xdr:row>12</xdr:row>
                    <xdr:rowOff>38100</xdr:rowOff>
                  </from>
                  <to>
                    <xdr:col>10</xdr:col>
                    <xdr:colOff>342900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FF62-189C-4B22-9CFF-2A4CB7F3C123}">
  <sheetPr codeName="Sheet17">
    <tabColor rgb="FF92D050"/>
    <pageSetUpPr fitToPage="1"/>
  </sheetPr>
  <dimension ref="A1:Y152"/>
  <sheetViews>
    <sheetView showGridLines="0" defaultGridColor="0" view="pageBreakPreview" colorId="8" zoomScaleNormal="100" zoomScaleSheetLayoutView="100" workbookViewId="0">
      <selection activeCell="A11" sqref="A11"/>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0" ht="86.45" customHeight="1" x14ac:dyDescent="0.2">
      <c r="A1" s="1"/>
      <c r="B1" s="2" t="s">
        <v>0</v>
      </c>
      <c r="C1" s="2"/>
      <c r="D1" s="2"/>
      <c r="E1" s="3"/>
      <c r="F1" s="3"/>
      <c r="G1" s="3"/>
      <c r="H1" s="3"/>
      <c r="I1" s="3"/>
      <c r="J1" s="3"/>
      <c r="K1" s="4"/>
      <c r="L1" s="5"/>
      <c r="M1" s="6"/>
      <c r="N1" s="5"/>
      <c r="O1" s="5"/>
      <c r="P1" s="7"/>
      <c r="Q1" s="7"/>
      <c r="R1" s="8"/>
      <c r="S1" s="8"/>
      <c r="T1" s="8"/>
    </row>
    <row r="2" spans="1:20"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0"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0"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0" ht="12.75" customHeight="1" x14ac:dyDescent="0.2">
      <c r="A5" s="24" t="s">
        <v>83</v>
      </c>
      <c r="B5" s="25"/>
      <c r="C5" s="26"/>
      <c r="D5" s="25"/>
      <c r="E5" s="25"/>
      <c r="F5" s="25"/>
      <c r="G5" s="25"/>
      <c r="H5" s="25"/>
      <c r="I5" s="25"/>
      <c r="J5" s="25"/>
      <c r="K5" s="27"/>
      <c r="L5" s="8"/>
      <c r="M5" s="19"/>
      <c r="N5" s="164"/>
      <c r="O5" s="164"/>
      <c r="P5" s="164"/>
      <c r="Q5" s="8"/>
      <c r="R5" s="8"/>
      <c r="S5" s="8"/>
      <c r="T5" s="8"/>
    </row>
    <row r="6" spans="1:20"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0"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0"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0"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0"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0"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0"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0"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0"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row>
    <row r="15" spans="1:20"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row>
    <row r="16" spans="1:20"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K17" s="30"/>
      <c r="L17" s="18"/>
      <c r="M17" s="153" t="s">
        <v>51</v>
      </c>
      <c r="N17" s="57"/>
      <c r="O17" s="157">
        <f t="shared" si="0"/>
        <v>0</v>
      </c>
      <c r="P17" s="18"/>
      <c r="Q17" s="18"/>
      <c r="R17" s="18" t="s">
        <v>66</v>
      </c>
      <c r="S17" s="18"/>
      <c r="T17" s="18" t="s">
        <v>59</v>
      </c>
    </row>
    <row r="18" spans="1:25" s="20" customFormat="1" ht="11.25" x14ac:dyDescent="0.2">
      <c r="A18" s="28"/>
      <c r="B18" s="60" t="s">
        <v>9</v>
      </c>
      <c r="C18" s="7"/>
      <c r="D18" s="7"/>
      <c r="E18" s="18"/>
      <c r="F18" s="18"/>
      <c r="G18" s="19" t="s">
        <v>70</v>
      </c>
      <c r="H18" s="60"/>
      <c r="I18" s="18"/>
      <c r="J18" s="18"/>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18" t="s">
        <v>38</v>
      </c>
      <c r="C19" s="18"/>
      <c r="D19" s="18"/>
      <c r="E19" s="61">
        <v>15</v>
      </c>
      <c r="F19" s="18" t="s">
        <v>12</v>
      </c>
      <c r="G19" s="58" t="s">
        <v>71</v>
      </c>
      <c r="H19" s="18"/>
      <c r="I19" s="74">
        <v>0.48965345531924864</v>
      </c>
      <c r="J19" s="18" t="s">
        <v>77</v>
      </c>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39</v>
      </c>
      <c r="C20" s="18"/>
      <c r="D20" s="18"/>
      <c r="E20" s="61">
        <v>100</v>
      </c>
      <c r="F20" s="18" t="s">
        <v>42</v>
      </c>
      <c r="G20" s="18" t="s">
        <v>72</v>
      </c>
      <c r="H20" s="18"/>
      <c r="I20" s="74">
        <v>23.202196727322672</v>
      </c>
      <c r="J20" s="58" t="s">
        <v>78</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58" t="s">
        <v>40</v>
      </c>
      <c r="C21" s="18"/>
      <c r="D21" s="18"/>
      <c r="E21" s="61">
        <v>10</v>
      </c>
      <c r="F21" s="18" t="s">
        <v>41</v>
      </c>
      <c r="G21" s="18" t="s">
        <v>73</v>
      </c>
      <c r="H21" s="60"/>
      <c r="I21" s="74">
        <v>0</v>
      </c>
      <c r="J21" s="58" t="s">
        <v>78</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60</v>
      </c>
      <c r="C22" s="18"/>
      <c r="D22" s="18"/>
      <c r="E22" s="61">
        <v>0</v>
      </c>
      <c r="F22" s="58" t="s">
        <v>61</v>
      </c>
      <c r="G22" s="18" t="s">
        <v>74</v>
      </c>
      <c r="H22" s="62"/>
      <c r="I22" s="74">
        <v>23.765161777688064</v>
      </c>
      <c r="J22" s="58" t="s">
        <v>78</v>
      </c>
      <c r="K22" s="30"/>
      <c r="L22" s="18"/>
      <c r="M22" s="153" t="s">
        <v>55</v>
      </c>
      <c r="N22" s="57"/>
      <c r="O22" s="158">
        <f t="shared" si="0"/>
        <v>0</v>
      </c>
      <c r="P22" s="64"/>
      <c r="Q22" s="64"/>
      <c r="R22" s="64"/>
      <c r="S22" s="18"/>
      <c r="T22" s="18"/>
      <c r="U22" s="65"/>
      <c r="V22" s="18"/>
      <c r="W22" s="18"/>
    </row>
    <row r="23" spans="1:25" s="20" customFormat="1" ht="11.25" x14ac:dyDescent="0.2">
      <c r="A23" s="28"/>
      <c r="B23" s="18" t="s">
        <v>68</v>
      </c>
      <c r="C23" s="18"/>
      <c r="D23" s="18"/>
      <c r="E23" s="131">
        <v>1</v>
      </c>
      <c r="F23" s="18" t="s">
        <v>69</v>
      </c>
      <c r="G23" s="18" t="s">
        <v>75</v>
      </c>
      <c r="H23" s="58"/>
      <c r="I23" s="74">
        <v>-0.89336631066115757</v>
      </c>
      <c r="J23" s="58" t="s">
        <v>78</v>
      </c>
      <c r="K23" s="63"/>
      <c r="L23" s="18"/>
      <c r="M23" s="153" t="s">
        <v>56</v>
      </c>
      <c r="N23" s="57"/>
      <c r="O23" s="158">
        <f t="shared" si="0"/>
        <v>0</v>
      </c>
      <c r="P23" s="55"/>
      <c r="Q23" s="66"/>
      <c r="R23" s="55"/>
      <c r="S23" s="18"/>
      <c r="T23" s="18"/>
      <c r="U23" s="18"/>
      <c r="V23" s="58"/>
      <c r="Y23" s="18"/>
    </row>
    <row r="24" spans="1:25" s="20" customFormat="1" ht="11.25" x14ac:dyDescent="0.2">
      <c r="A24" s="28"/>
      <c r="B24" s="18" t="s">
        <v>43</v>
      </c>
      <c r="C24" s="18"/>
      <c r="D24" s="18"/>
      <c r="E24" s="72">
        <v>15</v>
      </c>
      <c r="F24" s="18" t="s">
        <v>12</v>
      </c>
      <c r="G24" s="58" t="s">
        <v>76</v>
      </c>
      <c r="I24" s="74">
        <v>1.0850520115019697</v>
      </c>
      <c r="J24" s="58" t="s">
        <v>78</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18" t="s">
        <v>44</v>
      </c>
      <c r="C25" s="18"/>
      <c r="D25" s="18"/>
      <c r="E25" s="130">
        <v>1.0129999999999999</v>
      </c>
      <c r="F25" s="18" t="s">
        <v>42</v>
      </c>
      <c r="G25" s="20" t="s">
        <v>82</v>
      </c>
      <c r="H25" s="18"/>
      <c r="I25" s="159">
        <v>0.04</v>
      </c>
      <c r="J25" s="18" t="s">
        <v>69</v>
      </c>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62</v>
      </c>
      <c r="C26" s="18"/>
      <c r="D26" s="18"/>
      <c r="E26" s="72" t="s">
        <v>13</v>
      </c>
      <c r="F26" s="58"/>
      <c r="H26" s="18"/>
      <c r="I26" s="18"/>
      <c r="J26" s="18"/>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c r="C27" s="18"/>
      <c r="D27" s="18"/>
      <c r="E27" s="18"/>
      <c r="F27" s="67"/>
      <c r="G27" s="58"/>
      <c r="H27" s="18" t="s">
        <v>10</v>
      </c>
      <c r="I27" s="18"/>
      <c r="J27" s="68"/>
      <c r="K27" s="30"/>
      <c r="L27" s="18"/>
      <c r="M27" s="7"/>
      <c r="O27" s="149"/>
      <c r="P27" s="55"/>
      <c r="Q27" s="66"/>
      <c r="R27" s="55"/>
      <c r="S27" s="18"/>
      <c r="T27" s="58"/>
      <c r="U27" s="67"/>
      <c r="V27" s="58"/>
      <c r="W27" s="18"/>
      <c r="X27" s="18"/>
      <c r="Y27" s="18"/>
    </row>
    <row r="28" spans="1:25" s="20" customFormat="1" ht="11.25" x14ac:dyDescent="0.2">
      <c r="A28" s="28"/>
      <c r="B28" s="19"/>
      <c r="C28" s="18"/>
      <c r="D28" s="18"/>
      <c r="E28" s="18"/>
      <c r="F28" s="129"/>
      <c r="G28" s="18"/>
      <c r="H28" s="18"/>
      <c r="I28" s="18"/>
      <c r="J28" s="69"/>
      <c r="K28" s="30"/>
      <c r="L28" s="18"/>
      <c r="M28" s="7"/>
      <c r="O28" s="149"/>
      <c r="P28" s="55"/>
      <c r="Q28" s="55"/>
      <c r="R28" s="55"/>
      <c r="S28" s="18"/>
      <c r="T28" s="18"/>
      <c r="U28" s="18"/>
      <c r="V28" s="58"/>
      <c r="W28" s="18"/>
      <c r="X28" s="18"/>
      <c r="Y28" s="18"/>
    </row>
    <row r="29" spans="1:25" s="20" customFormat="1" ht="11.25" x14ac:dyDescent="0.2">
      <c r="A29" s="28"/>
      <c r="B29" s="58"/>
      <c r="C29" s="18"/>
      <c r="D29" s="18"/>
      <c r="E29" s="18"/>
      <c r="G29" s="58"/>
      <c r="H29" s="18"/>
      <c r="I29" s="18"/>
      <c r="J29" s="69"/>
      <c r="K29" s="30"/>
      <c r="L29" s="18"/>
      <c r="M29" s="7"/>
      <c r="O29" s="149"/>
      <c r="P29" s="55"/>
      <c r="Q29" s="55"/>
      <c r="R29" s="55"/>
      <c r="S29" s="18"/>
      <c r="T29" s="18"/>
      <c r="U29" s="67"/>
      <c r="V29" s="58"/>
      <c r="W29" s="18"/>
      <c r="X29" s="18"/>
      <c r="Y29" s="18"/>
    </row>
    <row r="30" spans="1:25" s="20" customFormat="1" ht="11.25" x14ac:dyDescent="0.2">
      <c r="A30" s="28"/>
      <c r="B30" s="18"/>
      <c r="C30" s="18"/>
      <c r="D30" s="18"/>
      <c r="E30" s="18"/>
      <c r="G30" s="18"/>
      <c r="H30" s="18"/>
      <c r="I30" s="18"/>
      <c r="J30" s="18"/>
      <c r="K30" s="30"/>
      <c r="L30" s="18"/>
      <c r="M30" s="7"/>
      <c r="O30" s="149"/>
      <c r="P30" s="55"/>
      <c r="Q30" s="55"/>
      <c r="S30" s="18"/>
      <c r="T30" s="18"/>
      <c r="U30" s="65"/>
      <c r="V30" s="58"/>
      <c r="W30" s="18"/>
      <c r="X30" s="70"/>
      <c r="Y30" s="18"/>
    </row>
    <row r="31" spans="1:25" s="20" customFormat="1" ht="11.25" x14ac:dyDescent="0.2">
      <c r="A31" s="71"/>
      <c r="B31" s="18"/>
      <c r="C31" s="18"/>
      <c r="D31" s="18"/>
      <c r="E31" s="18"/>
      <c r="G31" s="18"/>
      <c r="H31" s="58"/>
      <c r="I31" s="18"/>
      <c r="J31" s="18"/>
      <c r="K31" s="30"/>
      <c r="L31" s="18"/>
      <c r="M31" s="7"/>
      <c r="O31" s="149"/>
      <c r="P31" s="55"/>
      <c r="Q31" s="55"/>
      <c r="S31" s="18"/>
      <c r="T31" s="18"/>
      <c r="U31" s="18"/>
      <c r="V31" s="58"/>
      <c r="W31" s="18"/>
      <c r="X31" s="18"/>
      <c r="Y31" s="18"/>
    </row>
    <row r="32" spans="1:25" s="20" customFormat="1" ht="11.25" x14ac:dyDescent="0.2">
      <c r="A32" s="71"/>
      <c r="B32" s="18"/>
      <c r="C32" s="18"/>
      <c r="D32" s="18"/>
      <c r="E32" s="18"/>
      <c r="G32" s="18"/>
      <c r="H32" s="58"/>
      <c r="I32" s="18"/>
      <c r="J32" s="18"/>
      <c r="K32" s="30"/>
      <c r="L32" s="18"/>
      <c r="M32" s="7"/>
      <c r="O32" s="149"/>
      <c r="P32" s="55"/>
      <c r="Q32" s="55"/>
      <c r="R32" s="55"/>
      <c r="S32" s="18"/>
      <c r="T32" s="18"/>
      <c r="U32" s="67"/>
      <c r="V32" s="58"/>
      <c r="W32" s="18"/>
      <c r="X32" s="18"/>
      <c r="Y32" s="18"/>
    </row>
    <row r="33" spans="1:25" s="20" customFormat="1" ht="11.25" x14ac:dyDescent="0.2">
      <c r="A33" s="71"/>
      <c r="B33" s="18"/>
      <c r="C33" s="18"/>
      <c r="D33" s="18"/>
      <c r="E33" s="18"/>
      <c r="G33" s="58"/>
      <c r="H33" s="58"/>
      <c r="I33" s="18"/>
      <c r="J33" s="18"/>
      <c r="K33" s="30"/>
      <c r="L33" s="18"/>
      <c r="M33" s="7"/>
      <c r="O33" s="149"/>
      <c r="P33" s="55"/>
      <c r="Q33" s="55"/>
      <c r="R33" s="55"/>
      <c r="S33" s="18"/>
      <c r="T33" s="18"/>
      <c r="U33" s="18"/>
      <c r="V33" s="58"/>
      <c r="W33" s="18"/>
      <c r="X33" s="18"/>
      <c r="Y33" s="18"/>
    </row>
    <row r="34" spans="1:25" s="20" customFormat="1" ht="11.25" x14ac:dyDescent="0.2">
      <c r="A34" s="28"/>
      <c r="B34" s="58"/>
      <c r="C34" s="18"/>
      <c r="D34" s="18"/>
      <c r="E34" s="1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t="str">
        <f>IF(O67&gt;0,"Input has changed, PSV must be sized again.","")</f>
        <v>Input has changed, PSV must be sized again.</v>
      </c>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18"/>
      <c r="D115" s="18"/>
      <c r="E115" s="29"/>
      <c r="F115" s="108"/>
      <c r="G115" s="111"/>
      <c r="H115" s="111"/>
      <c r="I115" s="111"/>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99"/>
      <c r="B118" s="92"/>
      <c r="C118" s="92"/>
      <c r="D118" s="92"/>
      <c r="E118" s="92"/>
      <c r="F118" s="92"/>
      <c r="G118" s="92"/>
      <c r="H118" s="92"/>
      <c r="I118" s="92"/>
      <c r="J118" s="92"/>
      <c r="K118" s="93"/>
      <c r="L118" s="18"/>
      <c r="M118" s="18"/>
      <c r="N118" s="18"/>
      <c r="O118" s="18"/>
      <c r="P118" s="18"/>
      <c r="Q118" s="18"/>
      <c r="R118" s="18"/>
      <c r="S118" s="18"/>
      <c r="T118" s="18"/>
    </row>
    <row r="119" spans="1:20" s="20" customFormat="1" ht="11.25" x14ac:dyDescent="0.2">
      <c r="A119" s="99"/>
      <c r="B119" s="92"/>
      <c r="C119" s="92"/>
      <c r="D119" s="92"/>
      <c r="E119" s="92"/>
      <c r="F119" s="92"/>
      <c r="G119" s="92"/>
      <c r="H119" s="92"/>
      <c r="I119" s="92"/>
      <c r="J119" s="92"/>
      <c r="K119" s="93"/>
      <c r="L119" s="18"/>
      <c r="M119" s="18"/>
      <c r="N119" s="18"/>
      <c r="O119" s="18"/>
      <c r="P119" s="18"/>
      <c r="Q119" s="18"/>
      <c r="R119" s="18"/>
      <c r="S119" s="18"/>
      <c r="T119" s="18"/>
    </row>
    <row r="120" spans="1:20" s="20" customFormat="1" ht="11.25" x14ac:dyDescent="0.2">
      <c r="A120" s="99"/>
      <c r="B120" s="92"/>
      <c r="C120" s="92"/>
      <c r="D120" s="92"/>
      <c r="E120" s="92"/>
      <c r="F120" s="92"/>
      <c r="G120" s="92"/>
      <c r="H120" s="92"/>
      <c r="I120" s="92"/>
      <c r="J120" s="92"/>
      <c r="K120" s="93"/>
      <c r="L120" s="18"/>
      <c r="M120" s="18"/>
      <c r="N120" s="18"/>
      <c r="O120" s="18"/>
      <c r="P120" s="18"/>
      <c r="Q120" s="18"/>
      <c r="R120" s="18"/>
      <c r="S120" s="18"/>
      <c r="T120" s="18"/>
    </row>
    <row r="121" spans="1:20" s="20" customFormat="1" ht="11.25" x14ac:dyDescent="0.2">
      <c r="A121" s="112"/>
      <c r="B121" s="113"/>
      <c r="C121" s="113"/>
      <c r="D121" s="113"/>
      <c r="E121" s="113"/>
      <c r="F121" s="113"/>
      <c r="G121" s="114"/>
      <c r="H121" s="113"/>
      <c r="I121" s="113"/>
      <c r="J121" s="113"/>
      <c r="K121" s="115"/>
      <c r="L121" s="18"/>
      <c r="M121" s="18"/>
      <c r="N121" s="18"/>
      <c r="O121" s="18"/>
      <c r="P121" s="18"/>
      <c r="Q121" s="18"/>
      <c r="R121" s="18"/>
      <c r="S121" s="18"/>
      <c r="T121" s="18"/>
    </row>
    <row r="122" spans="1:20" s="20" customFormat="1" ht="11.25" x14ac:dyDescent="0.2">
      <c r="A122" s="89" t="str">
        <f>[1]FRONTPAGE!$A$56</f>
        <v>ORS PSV calculation master DRAFT</v>
      </c>
      <c r="B122" s="116"/>
      <c r="C122" s="116"/>
      <c r="D122" s="116"/>
      <c r="E122" s="116"/>
      <c r="F122" s="116"/>
      <c r="G122" s="117"/>
      <c r="H122" s="116"/>
      <c r="I122" s="116"/>
      <c r="J122" s="116"/>
      <c r="K122" s="116"/>
      <c r="L122" s="18"/>
      <c r="M122" s="18"/>
      <c r="N122" s="18"/>
      <c r="O122" s="18"/>
      <c r="P122" s="18"/>
      <c r="Q122" s="18"/>
      <c r="R122" s="18"/>
      <c r="S122" s="18"/>
      <c r="T122" s="18"/>
    </row>
    <row r="123" spans="1:20" s="90" customFormat="1" ht="12" x14ac:dyDescent="0.2">
      <c r="A123" s="118"/>
      <c r="B123" s="34"/>
      <c r="C123" s="34"/>
      <c r="D123" s="34"/>
      <c r="E123" s="34"/>
      <c r="F123" s="34"/>
      <c r="G123" s="119"/>
      <c r="H123" s="34"/>
      <c r="I123" s="34"/>
      <c r="J123" s="34"/>
      <c r="K123" s="34"/>
      <c r="L123" s="94"/>
      <c r="M123" s="94"/>
      <c r="N123" s="94"/>
      <c r="O123" s="94"/>
      <c r="P123" s="94"/>
      <c r="Q123" s="94"/>
      <c r="R123" s="94"/>
      <c r="S123" s="94"/>
      <c r="T123" s="94"/>
    </row>
    <row r="124" spans="1:20" s="34" customFormat="1" ht="12.75" customHeight="1" x14ac:dyDescent="0.2">
      <c r="A124" s="118"/>
      <c r="G124" s="119"/>
      <c r="L124" s="31"/>
      <c r="M124" s="31"/>
      <c r="N124" s="31"/>
      <c r="O124" s="31"/>
      <c r="P124" s="31"/>
      <c r="Q124" s="31"/>
      <c r="R124" s="31"/>
      <c r="S124" s="31"/>
      <c r="T124" s="31"/>
    </row>
    <row r="125" spans="1:20" s="34" customFormat="1" ht="12.75" customHeight="1" x14ac:dyDescent="0.2">
      <c r="A125" s="118"/>
      <c r="G125" s="119"/>
      <c r="L125" s="31"/>
      <c r="M125" s="31"/>
      <c r="N125" s="31"/>
      <c r="O125" s="31"/>
      <c r="P125" s="31"/>
      <c r="Q125" s="31"/>
      <c r="R125" s="31"/>
      <c r="S125" s="31"/>
      <c r="T125" s="31"/>
    </row>
    <row r="126" spans="1:20" s="34" customFormat="1" ht="12.75" customHeight="1" x14ac:dyDescent="0.2">
      <c r="A126" s="118"/>
      <c r="G126" s="119"/>
      <c r="L126" s="31"/>
      <c r="M126" s="31"/>
      <c r="N126" s="31"/>
      <c r="O126" s="31"/>
      <c r="P126" s="31"/>
      <c r="Q126" s="31"/>
      <c r="R126" s="31"/>
      <c r="S126" s="31"/>
      <c r="T126" s="31"/>
    </row>
    <row r="127" spans="1:20" s="34" customFormat="1" ht="12.75" customHeight="1" x14ac:dyDescent="0.2">
      <c r="A127" s="118"/>
      <c r="G127" s="119"/>
      <c r="L127" s="31"/>
      <c r="M127" s="31"/>
      <c r="N127" s="31"/>
      <c r="O127" s="31"/>
      <c r="P127" s="31"/>
      <c r="Q127" s="31"/>
      <c r="R127" s="31"/>
      <c r="S127" s="31"/>
      <c r="T127" s="31"/>
    </row>
    <row r="128" spans="1:20" s="34" customFormat="1" ht="12.75" customHeight="1" x14ac:dyDescent="0.2">
      <c r="A128" s="118"/>
      <c r="G128" s="119"/>
      <c r="L128" s="31"/>
      <c r="M128" s="31"/>
      <c r="N128" s="31"/>
      <c r="O128" s="31"/>
      <c r="P128" s="31"/>
      <c r="Q128" s="31"/>
      <c r="R128" s="31"/>
      <c r="S128" s="31"/>
      <c r="T128" s="31"/>
    </row>
    <row r="129" spans="1:20" s="34" customFormat="1" ht="12.75" customHeight="1" x14ac:dyDescent="0.2">
      <c r="A129" s="118"/>
      <c r="G129" s="119"/>
      <c r="L129" s="31"/>
      <c r="M129" s="31"/>
      <c r="N129" s="31"/>
      <c r="O129" s="31"/>
      <c r="P129" s="31"/>
      <c r="Q129" s="31"/>
      <c r="R129" s="31"/>
      <c r="S129" s="31"/>
      <c r="T129" s="31"/>
    </row>
    <row r="130" spans="1:20" s="34" customFormat="1" ht="12.75" customHeight="1" x14ac:dyDescent="0.2">
      <c r="A130" s="118"/>
      <c r="G130" s="119"/>
      <c r="L130" s="31"/>
      <c r="M130" s="31"/>
      <c r="N130" s="31"/>
      <c r="O130" s="31"/>
      <c r="P130" s="31"/>
      <c r="Q130" s="31"/>
      <c r="R130" s="31"/>
      <c r="S130" s="31"/>
      <c r="T130" s="31"/>
    </row>
    <row r="131" spans="1:20" s="34" customFormat="1" ht="12.75" customHeight="1" x14ac:dyDescent="0.2">
      <c r="A131" s="118"/>
      <c r="G131" s="119"/>
      <c r="L131" s="31"/>
      <c r="M131" s="31"/>
      <c r="N131" s="31"/>
      <c r="O131" s="31"/>
      <c r="P131" s="31"/>
      <c r="Q131" s="31"/>
      <c r="R131" s="31"/>
      <c r="S131" s="31"/>
      <c r="T131" s="31"/>
    </row>
    <row r="132" spans="1:20" s="34" customFormat="1" ht="12.75" customHeight="1" x14ac:dyDescent="0.2">
      <c r="A132" s="118"/>
      <c r="G132" s="119"/>
      <c r="L132" s="31"/>
      <c r="M132" s="31"/>
      <c r="N132" s="31"/>
      <c r="O132" s="31"/>
      <c r="P132" s="31"/>
      <c r="Q132" s="31"/>
      <c r="R132" s="31"/>
      <c r="S132" s="31"/>
      <c r="T132" s="31"/>
    </row>
    <row r="133" spans="1:20" s="34" customFormat="1" ht="12.75" customHeight="1" x14ac:dyDescent="0.2">
      <c r="A133" s="118"/>
      <c r="G133" s="119"/>
      <c r="L133" s="31"/>
      <c r="M133" s="31"/>
      <c r="N133" s="31"/>
      <c r="O133" s="31"/>
      <c r="P133" s="31"/>
      <c r="Q133" s="31"/>
      <c r="R133" s="31"/>
      <c r="S133" s="31"/>
      <c r="T133" s="31"/>
    </row>
    <row r="134" spans="1:20" s="34" customFormat="1" ht="12.75" customHeight="1" x14ac:dyDescent="0.2">
      <c r="A134" s="118"/>
      <c r="G134" s="119"/>
      <c r="L134" s="31"/>
      <c r="M134" s="31"/>
      <c r="N134" s="31"/>
      <c r="O134" s="31"/>
      <c r="P134" s="31"/>
      <c r="Q134" s="31"/>
      <c r="R134" s="31"/>
      <c r="S134" s="31"/>
      <c r="T134" s="31"/>
    </row>
    <row r="135" spans="1:20" s="34" customFormat="1" ht="12.75" customHeight="1" x14ac:dyDescent="0.2">
      <c r="A135" s="118"/>
      <c r="G135" s="119"/>
      <c r="L135" s="31"/>
      <c r="M135" s="31"/>
      <c r="N135" s="31"/>
      <c r="O135" s="31"/>
      <c r="P135" s="31"/>
      <c r="Q135" s="31"/>
      <c r="R135" s="31"/>
      <c r="S135" s="31"/>
      <c r="T135" s="31"/>
    </row>
    <row r="136" spans="1:20" s="34" customFormat="1" ht="12.75" customHeight="1" x14ac:dyDescent="0.2">
      <c r="A136" s="118"/>
      <c r="G136" s="119"/>
      <c r="L136" s="31"/>
      <c r="M136" s="31"/>
      <c r="N136" s="31"/>
      <c r="O136" s="31"/>
      <c r="P136" s="31"/>
      <c r="Q136" s="31"/>
      <c r="R136" s="31"/>
      <c r="S136" s="31"/>
      <c r="T136" s="31"/>
    </row>
    <row r="137" spans="1:20" s="34" customFormat="1" ht="12.75" customHeight="1" x14ac:dyDescent="0.2">
      <c r="A137" s="118"/>
      <c r="G137" s="119"/>
      <c r="L137" s="31"/>
      <c r="M137" s="31"/>
      <c r="N137" s="31"/>
      <c r="O137" s="31"/>
      <c r="P137" s="31"/>
      <c r="Q137" s="31"/>
      <c r="R137" s="31"/>
      <c r="S137" s="31"/>
      <c r="T137" s="31"/>
    </row>
    <row r="138" spans="1:20" s="34" customFormat="1" ht="12.75" customHeight="1" x14ac:dyDescent="0.2">
      <c r="A138" s="118"/>
      <c r="G138" s="119"/>
      <c r="L138" s="31"/>
      <c r="M138" s="31"/>
      <c r="N138" s="31"/>
      <c r="O138" s="31"/>
      <c r="P138" s="31"/>
      <c r="Q138" s="31"/>
      <c r="R138" s="31"/>
      <c r="S138" s="31"/>
      <c r="T138" s="31"/>
    </row>
    <row r="139" spans="1:20" s="34" customFormat="1" ht="12.75" customHeight="1" x14ac:dyDescent="0.2">
      <c r="A139" s="118"/>
      <c r="G139" s="119"/>
      <c r="L139" s="31"/>
      <c r="M139" s="31"/>
      <c r="N139" s="31"/>
      <c r="O139" s="31"/>
      <c r="P139" s="31"/>
      <c r="Q139" s="31"/>
      <c r="R139" s="31"/>
      <c r="S139" s="31"/>
      <c r="T139" s="31"/>
    </row>
    <row r="140" spans="1:20" s="34" customFormat="1" ht="12.75" customHeight="1" x14ac:dyDescent="0.2">
      <c r="A140" s="118"/>
      <c r="G140" s="119"/>
      <c r="L140" s="31"/>
      <c r="M140" s="31"/>
      <c r="N140" s="31"/>
      <c r="O140" s="31"/>
      <c r="P140" s="31"/>
      <c r="Q140" s="31"/>
      <c r="R140" s="31"/>
      <c r="S140" s="31"/>
      <c r="T140" s="31"/>
    </row>
    <row r="141" spans="1:20" s="34" customFormat="1" ht="12.75" customHeight="1" x14ac:dyDescent="0.2">
      <c r="A141" s="118"/>
      <c r="G141" s="119"/>
      <c r="L141" s="31"/>
      <c r="M141" s="31"/>
      <c r="N141" s="31"/>
      <c r="O141" s="31"/>
      <c r="P141" s="31"/>
      <c r="Q141" s="31"/>
      <c r="R141" s="31"/>
      <c r="S141" s="31"/>
      <c r="T141" s="31"/>
    </row>
    <row r="142" spans="1:20" s="34" customFormat="1" ht="12.75" customHeight="1" x14ac:dyDescent="0.2">
      <c r="A142" s="118"/>
      <c r="G142" s="119"/>
      <c r="L142" s="31"/>
      <c r="M142" s="31"/>
      <c r="N142" s="31"/>
      <c r="O142" s="31"/>
      <c r="P142" s="31"/>
      <c r="Q142" s="31"/>
      <c r="R142" s="31"/>
      <c r="S142" s="31"/>
      <c r="T142" s="31"/>
    </row>
    <row r="143" spans="1:20" s="34" customFormat="1" ht="12.75" customHeight="1" x14ac:dyDescent="0.2">
      <c r="A143" s="118"/>
      <c r="G143" s="119"/>
      <c r="L143" s="31"/>
      <c r="M143" s="31"/>
      <c r="N143" s="31"/>
      <c r="O143" s="31"/>
      <c r="P143" s="31"/>
      <c r="Q143" s="31"/>
      <c r="R143" s="31"/>
      <c r="S143" s="31"/>
      <c r="T143" s="31"/>
    </row>
    <row r="144" spans="1:20" s="34" customFormat="1" ht="12.75" customHeight="1" x14ac:dyDescent="0.2">
      <c r="A144" s="118"/>
      <c r="G144" s="119"/>
      <c r="L144" s="31"/>
      <c r="M144" s="31"/>
      <c r="N144" s="31"/>
      <c r="O144" s="31"/>
      <c r="P144" s="31"/>
      <c r="Q144" s="31"/>
      <c r="R144" s="31"/>
      <c r="S144" s="31"/>
      <c r="T144" s="31"/>
    </row>
    <row r="145" spans="1:20" s="34" customFormat="1" ht="12.75" customHeight="1" x14ac:dyDescent="0.2">
      <c r="A145" s="118"/>
      <c r="G145" s="119"/>
      <c r="L145" s="31"/>
      <c r="M145" s="31"/>
      <c r="N145" s="31"/>
      <c r="O145" s="31"/>
      <c r="P145" s="31"/>
      <c r="Q145" s="31"/>
      <c r="R145" s="31"/>
      <c r="S145" s="31"/>
      <c r="T145" s="31"/>
    </row>
    <row r="146" spans="1:20" s="34" customFormat="1" ht="12.75" customHeight="1" x14ac:dyDescent="0.2">
      <c r="A146" s="118"/>
      <c r="G146" s="119"/>
      <c r="L146" s="31"/>
      <c r="M146" s="31"/>
      <c r="N146" s="31"/>
      <c r="O146" s="31"/>
      <c r="P146" s="31"/>
      <c r="Q146" s="31"/>
      <c r="R146" s="31"/>
      <c r="S146" s="31"/>
      <c r="T146" s="31"/>
    </row>
    <row r="147" spans="1:20" s="34" customFormat="1" ht="12.75" customHeight="1" x14ac:dyDescent="0.2">
      <c r="A147" s="118"/>
      <c r="G147" s="119"/>
      <c r="L147" s="31"/>
      <c r="M147" s="31"/>
      <c r="N147" s="31"/>
      <c r="O147" s="31"/>
      <c r="P147" s="31"/>
      <c r="Q147" s="31"/>
      <c r="R147" s="31"/>
      <c r="S147" s="31"/>
      <c r="T147" s="31"/>
    </row>
    <row r="148" spans="1:20" s="34" customFormat="1" ht="12.75" customHeight="1" x14ac:dyDescent="0.2">
      <c r="A148" s="120"/>
      <c r="B148" s="9"/>
      <c r="C148" s="9"/>
      <c r="D148" s="9"/>
      <c r="E148" s="9"/>
      <c r="F148" s="9"/>
      <c r="G148" s="121"/>
      <c r="H148" s="9"/>
      <c r="I148" s="9"/>
      <c r="J148" s="9"/>
      <c r="K148" s="9"/>
      <c r="L148" s="31"/>
      <c r="M148" s="31"/>
      <c r="N148" s="31"/>
      <c r="O148" s="31"/>
      <c r="P148" s="31"/>
      <c r="Q148" s="31"/>
      <c r="R148" s="31"/>
      <c r="S148" s="31"/>
      <c r="T148" s="31"/>
    </row>
    <row r="149" spans="1:20" x14ac:dyDescent="0.2">
      <c r="L149" s="8"/>
      <c r="M149" s="8"/>
      <c r="N149" s="8"/>
      <c r="O149" s="8"/>
      <c r="P149" s="8"/>
      <c r="Q149" s="8"/>
      <c r="R149" s="8"/>
      <c r="S149" s="8"/>
      <c r="T149" s="8"/>
    </row>
    <row r="150" spans="1:20" x14ac:dyDescent="0.2">
      <c r="L150" s="8"/>
      <c r="M150" s="8"/>
      <c r="N150" s="8"/>
      <c r="O150" s="8"/>
      <c r="P150" s="8"/>
      <c r="Q150" s="8"/>
      <c r="R150" s="8"/>
      <c r="S150" s="8"/>
      <c r="T150" s="8"/>
    </row>
    <row r="151" spans="1:20" x14ac:dyDescent="0.2">
      <c r="L151" s="8"/>
      <c r="M151" s="8"/>
      <c r="N151" s="8"/>
      <c r="O151" s="8"/>
      <c r="P151" s="8"/>
      <c r="Q151" s="8"/>
      <c r="R151" s="8"/>
      <c r="S151" s="8"/>
      <c r="T151" s="8"/>
    </row>
    <row r="152" spans="1:20" x14ac:dyDescent="0.2">
      <c r="L152" s="8"/>
      <c r="M152" s="8"/>
      <c r="N152" s="8"/>
      <c r="O152" s="8"/>
      <c r="P152" s="8"/>
      <c r="Q152" s="8"/>
      <c r="R152" s="8"/>
      <c r="S152" s="8"/>
      <c r="T152" s="8"/>
    </row>
  </sheetData>
  <sheetProtection formatCells="0"/>
  <mergeCells count="8">
    <mergeCell ref="E16:G16"/>
    <mergeCell ref="F73:I73"/>
    <mergeCell ref="A3:I3"/>
    <mergeCell ref="N3:P3"/>
    <mergeCell ref="N4:P4"/>
    <mergeCell ref="N5:P5"/>
    <mergeCell ref="B12:J12"/>
    <mergeCell ref="E15:G15"/>
  </mergeCells>
  <conditionalFormatting sqref="H27">
    <cfRule type="expression" dxfId="2" priority="1" stopIfTrue="1">
      <formula>$E$16&lt;&gt;"Pilot Remote Sensing Line"</formula>
    </cfRule>
  </conditionalFormatting>
  <conditionalFormatting sqref="K26">
    <cfRule type="expression" dxfId="1" priority="2" stopIfTrue="1">
      <formula>$E$16&lt;&gt;"Pilot Remote Sensing Line"</formula>
    </cfRule>
  </conditionalFormatting>
  <dataValidations count="5">
    <dataValidation type="list" allowBlank="1" showInputMessage="1" showErrorMessage="1" sqref="E15:G15" xr:uid="{3FE414CC-0FF5-4143-AEAE-DFBD5DA45FEA}">
      <formula1>$R$14:$R$18</formula1>
    </dataValidation>
    <dataValidation type="list" allowBlank="1" showInputMessage="1" showErrorMessage="1" sqref="E16:G16" xr:uid="{A004B0FD-B9A6-4526-A1FB-6B92FE228D88}">
      <formula1>$T$14:$T$17</formula1>
    </dataValidation>
    <dataValidation type="list" allowBlank="1" showInputMessage="1" showErrorMessage="1" sqref="N5" xr:uid="{A83E28DA-F5DD-42F0-9359-5E7A9FC2C323}">
      <formula1>"EOS, COSTALD"</formula1>
    </dataValidation>
    <dataValidation type="list" allowBlank="1" showInputMessage="1" showErrorMessage="1" sqref="H16" xr:uid="{8DE5A2B4-ADCB-49C8-8E79-974A092A4487}">
      <formula1>$R$17:$R$23</formula1>
    </dataValidation>
    <dataValidation type="list" allowBlank="1" showInputMessage="1" showErrorMessage="1" sqref="N4:P4" xr:uid="{F1F324D7-0C28-45F7-9DC6-C63E7C0B122F}">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1" manualBreakCount="1">
    <brk id="64" max="10" man="1"/>
  </rowBreaks>
  <drawing r:id="rId2"/>
  <legacyDrawing r:id="rId3"/>
  <controls>
    <mc:AlternateContent xmlns:mc="http://schemas.openxmlformats.org/markup-compatibility/2006">
      <mc:Choice Requires="x14">
        <control shapeId="3078" r:id="rId4" name="CommandButton1">
          <controlPr defaultSize="0" autoLine="0" r:id="rId5">
            <anchor moveWithCells="1">
              <from>
                <xdr:col>8</xdr:col>
                <xdr:colOff>209550</xdr:colOff>
                <xdr:row>11</xdr:row>
                <xdr:rowOff>57150</xdr:rowOff>
              </from>
              <to>
                <xdr:col>10</xdr:col>
                <xdr:colOff>285750</xdr:colOff>
                <xdr:row>14</xdr:row>
                <xdr:rowOff>28575</xdr:rowOff>
              </to>
            </anchor>
          </controlPr>
        </control>
      </mc:Choice>
      <mc:Fallback>
        <control shapeId="3078" r:id="rId4" name="CommandButton1"/>
      </mc:Fallback>
    </mc:AlternateContent>
    <mc:AlternateContent xmlns:mc="http://schemas.openxmlformats.org/markup-compatibility/2006">
      <mc:Choice Requires="x14">
        <control shapeId="3073" r:id="rId6"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3074" r:id="rId7"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FE15-E0A3-4C16-98B3-6F689FF1FBA5}">
  <sheetPr codeName="Sheet20">
    <tabColor rgb="FF92D050"/>
    <pageSetUpPr fitToPage="1"/>
  </sheetPr>
  <dimension ref="A1:Y217"/>
  <sheetViews>
    <sheetView showGridLines="0" tabSelected="1" defaultGridColor="0" view="pageBreakPreview" colorId="8" zoomScaleNormal="100" zoomScaleSheetLayoutView="100" workbookViewId="0">
      <selection activeCell="D33" sqref="D33"/>
    </sheetView>
  </sheetViews>
  <sheetFormatPr defaultColWidth="8.85546875" defaultRowHeight="12.75" x14ac:dyDescent="0.2"/>
  <cols>
    <col min="1" max="1" width="2.28515625" style="120" customWidth="1"/>
    <col min="2" max="2" width="5.140625" style="9" customWidth="1"/>
    <col min="3" max="3" width="8.28515625" style="9" customWidth="1"/>
    <col min="4" max="4" width="9.140625" style="9" customWidth="1"/>
    <col min="5" max="5" width="9.42578125" style="9" customWidth="1"/>
    <col min="6" max="6" width="9.28515625" style="9" customWidth="1"/>
    <col min="7" max="7" width="8.28515625" style="121" customWidth="1"/>
    <col min="8" max="8" width="9.85546875" style="9" customWidth="1"/>
    <col min="9" max="12" width="8.28515625" style="9" customWidth="1"/>
    <col min="13" max="13" width="18.42578125" style="9" customWidth="1"/>
    <col min="14" max="14" width="14.5703125" style="9" customWidth="1"/>
    <col min="15" max="16384" width="8.85546875" style="9"/>
  </cols>
  <sheetData>
    <row r="1" spans="1:21" ht="86.45" customHeight="1" x14ac:dyDescent="0.2">
      <c r="A1" s="1"/>
      <c r="B1" s="2" t="s">
        <v>0</v>
      </c>
      <c r="C1" s="2"/>
      <c r="D1" s="2"/>
      <c r="E1" s="3"/>
      <c r="F1" s="3"/>
      <c r="G1" s="3"/>
      <c r="H1" s="3"/>
      <c r="I1" s="3"/>
      <c r="J1" s="3"/>
      <c r="K1" s="4"/>
      <c r="L1" s="5"/>
      <c r="M1" s="6"/>
      <c r="N1" s="5"/>
      <c r="O1" s="5"/>
      <c r="P1" s="7"/>
      <c r="Q1" s="7"/>
      <c r="R1" s="8"/>
      <c r="S1" s="8"/>
      <c r="T1" s="8"/>
    </row>
    <row r="2" spans="1:21" s="20" customFormat="1" ht="12.75" customHeight="1" x14ac:dyDescent="0.2">
      <c r="A2" s="10" t="s">
        <v>1</v>
      </c>
      <c r="B2" s="11"/>
      <c r="C2" s="12"/>
      <c r="D2" s="13"/>
      <c r="E2" s="13"/>
      <c r="F2" s="13"/>
      <c r="G2" s="14"/>
      <c r="H2" s="15"/>
      <c r="I2" s="16"/>
      <c r="J2" s="15"/>
      <c r="K2" s="17"/>
      <c r="L2" s="18"/>
      <c r="M2" s="19"/>
      <c r="N2" s="7"/>
      <c r="O2" s="7"/>
      <c r="P2" s="7"/>
      <c r="Q2" s="18"/>
      <c r="R2" s="18"/>
      <c r="S2" s="18"/>
      <c r="T2" s="18"/>
    </row>
    <row r="3" spans="1:21" ht="12.75" customHeight="1" x14ac:dyDescent="0.2">
      <c r="A3" s="162" t="str">
        <f>TITLE</f>
        <v>Project title</v>
      </c>
      <c r="B3" s="163"/>
      <c r="C3" s="163"/>
      <c r="D3" s="163"/>
      <c r="E3" s="163"/>
      <c r="F3" s="163"/>
      <c r="G3" s="163"/>
      <c r="H3" s="163"/>
      <c r="I3" s="163"/>
      <c r="J3" s="21"/>
      <c r="K3" s="22"/>
      <c r="L3" s="8"/>
      <c r="M3" s="19"/>
      <c r="N3" s="164"/>
      <c r="O3" s="164"/>
      <c r="P3" s="164"/>
      <c r="Q3" s="8"/>
      <c r="R3" s="8"/>
      <c r="S3" s="8"/>
      <c r="T3" s="8"/>
    </row>
    <row r="4" spans="1:21" s="20" customFormat="1" ht="12.75" customHeight="1" x14ac:dyDescent="0.2">
      <c r="A4" s="10" t="s">
        <v>2</v>
      </c>
      <c r="B4" s="11"/>
      <c r="C4" s="13"/>
      <c r="D4" s="13"/>
      <c r="E4" s="13"/>
      <c r="F4" s="13"/>
      <c r="G4" s="9"/>
      <c r="H4" s="9"/>
      <c r="I4" s="9"/>
      <c r="J4" s="9"/>
      <c r="K4" s="23"/>
      <c r="L4" s="18"/>
      <c r="M4" s="19"/>
      <c r="N4" s="164"/>
      <c r="O4" s="164"/>
      <c r="P4" s="164"/>
      <c r="Q4" s="18"/>
      <c r="R4" s="18"/>
      <c r="S4" s="18"/>
      <c r="T4" s="18"/>
    </row>
    <row r="5" spans="1:21" ht="12.75" customHeight="1" x14ac:dyDescent="0.2">
      <c r="A5" s="24" t="s">
        <v>106</v>
      </c>
      <c r="B5" s="25"/>
      <c r="C5" s="26"/>
      <c r="D5" s="25"/>
      <c r="E5" s="25"/>
      <c r="F5" s="25"/>
      <c r="G5" s="25"/>
      <c r="H5" s="25"/>
      <c r="I5" s="25"/>
      <c r="J5" s="25"/>
      <c r="K5" s="27"/>
      <c r="L5" s="8"/>
      <c r="M5" s="19"/>
      <c r="N5" s="164"/>
      <c r="O5" s="164"/>
      <c r="P5" s="164"/>
      <c r="Q5" s="8"/>
      <c r="R5" s="8"/>
      <c r="S5" s="8"/>
      <c r="T5" s="8"/>
    </row>
    <row r="6" spans="1:21" s="34" customFormat="1" ht="6.95" hidden="1" customHeight="1" x14ac:dyDescent="0.2">
      <c r="A6" s="28"/>
      <c r="B6" s="18"/>
      <c r="C6" s="18"/>
      <c r="D6" s="18"/>
      <c r="E6" s="18"/>
      <c r="F6" s="18"/>
      <c r="G6" s="29"/>
      <c r="H6" s="18"/>
      <c r="I6" s="18"/>
      <c r="J6" s="18"/>
      <c r="K6" s="30"/>
      <c r="L6" s="31"/>
      <c r="M6" s="19"/>
      <c r="N6" s="7"/>
      <c r="O6" s="7"/>
      <c r="P6" s="32"/>
      <c r="Q6" s="33"/>
      <c r="R6" s="31"/>
      <c r="S6" s="31"/>
      <c r="T6" s="31"/>
    </row>
    <row r="7" spans="1:21" s="34" customFormat="1" ht="12.75" hidden="1" customHeight="1" x14ac:dyDescent="0.2">
      <c r="A7" s="28"/>
      <c r="B7" s="35" t="s">
        <v>3</v>
      </c>
      <c r="C7" s="36"/>
      <c r="D7" s="37" t="str">
        <f>TAG_NO</f>
        <v>Tag number</v>
      </c>
      <c r="E7" s="38"/>
      <c r="F7" s="38"/>
      <c r="G7" s="39"/>
      <c r="H7" s="39"/>
      <c r="I7" s="40"/>
      <c r="J7" s="18"/>
      <c r="K7" s="30"/>
      <c r="L7" s="31"/>
      <c r="M7" s="31"/>
      <c r="N7" s="31"/>
      <c r="O7" s="7"/>
      <c r="P7" s="7"/>
      <c r="Q7" s="7"/>
      <c r="R7" s="31"/>
      <c r="S7" s="31"/>
      <c r="T7" s="31"/>
    </row>
    <row r="8" spans="1:21" s="34" customFormat="1" ht="12.75" hidden="1" customHeight="1" x14ac:dyDescent="0.2">
      <c r="A8" s="28"/>
      <c r="B8" s="35" t="s">
        <v>4</v>
      </c>
      <c r="C8" s="36"/>
      <c r="D8" s="41" t="str">
        <f>PIogD</f>
        <v>P&amp;ID</v>
      </c>
      <c r="E8" s="38"/>
      <c r="F8" s="38"/>
      <c r="G8" s="39"/>
      <c r="H8" s="39"/>
      <c r="I8" s="42"/>
      <c r="J8" s="18"/>
      <c r="K8" s="30"/>
      <c r="L8" s="31"/>
      <c r="M8" s="31"/>
      <c r="N8" s="31"/>
      <c r="O8" s="7"/>
      <c r="P8" s="7"/>
      <c r="Q8" s="7"/>
      <c r="R8" s="31"/>
      <c r="S8" s="31"/>
      <c r="T8" s="31"/>
    </row>
    <row r="9" spans="1:21" s="34" customFormat="1" ht="12.75" hidden="1" customHeight="1" x14ac:dyDescent="0.2">
      <c r="A9" s="28"/>
      <c r="B9" s="35" t="s">
        <v>5</v>
      </c>
      <c r="C9" s="36"/>
      <c r="D9" s="37" t="str">
        <f>EQUIPMENT</f>
        <v>Equipment</v>
      </c>
      <c r="E9" s="38"/>
      <c r="F9" s="38"/>
      <c r="G9" s="39"/>
      <c r="H9" s="39"/>
      <c r="I9" s="42"/>
      <c r="J9" s="18"/>
      <c r="K9" s="30"/>
      <c r="L9" s="31"/>
      <c r="M9" s="31"/>
      <c r="N9" s="31"/>
      <c r="O9" s="31"/>
      <c r="P9" s="31"/>
      <c r="Q9" s="31"/>
      <c r="R9" s="31"/>
      <c r="S9" s="31"/>
      <c r="T9" s="31"/>
    </row>
    <row r="10" spans="1:21" s="34" customFormat="1" ht="6.95" hidden="1" customHeight="1" x14ac:dyDescent="0.2">
      <c r="A10" s="43"/>
      <c r="B10" s="44"/>
      <c r="C10" s="44"/>
      <c r="D10" s="44"/>
      <c r="E10" s="44"/>
      <c r="F10" s="44"/>
      <c r="G10" s="44"/>
      <c r="H10" s="44"/>
      <c r="I10" s="44"/>
      <c r="J10" s="44"/>
      <c r="K10" s="45"/>
      <c r="L10" s="31"/>
      <c r="M10" s="31"/>
      <c r="N10" s="31"/>
      <c r="O10" s="31"/>
      <c r="P10" s="31"/>
      <c r="Q10" s="31"/>
      <c r="R10" s="31"/>
      <c r="S10" s="31"/>
      <c r="T10" s="31"/>
    </row>
    <row r="11" spans="1:21" s="20" customFormat="1" ht="11.25" x14ac:dyDescent="0.2">
      <c r="A11" s="46"/>
      <c r="B11" s="11"/>
      <c r="C11" s="11"/>
      <c r="D11" s="11"/>
      <c r="E11" s="11"/>
      <c r="F11" s="11"/>
      <c r="G11" s="11"/>
      <c r="H11" s="11"/>
      <c r="I11" s="11"/>
      <c r="J11" s="11"/>
      <c r="K11" s="47"/>
      <c r="L11" s="18"/>
      <c r="M11" s="1"/>
      <c r="N11" s="154"/>
      <c r="O11" s="48"/>
      <c r="P11" s="18"/>
      <c r="Q11" s="18"/>
      <c r="R11" s="18"/>
      <c r="S11" s="18"/>
      <c r="T11" s="18"/>
    </row>
    <row r="12" spans="1:21" s="20" customFormat="1" ht="11.25" x14ac:dyDescent="0.2">
      <c r="A12" s="28"/>
      <c r="B12" s="165" t="s">
        <v>45</v>
      </c>
      <c r="C12" s="166"/>
      <c r="D12" s="166"/>
      <c r="E12" s="166"/>
      <c r="F12" s="166"/>
      <c r="G12" s="166"/>
      <c r="H12" s="166"/>
      <c r="I12" s="166"/>
      <c r="J12" s="166"/>
      <c r="K12" s="30"/>
      <c r="L12" s="18"/>
      <c r="M12" s="50"/>
      <c r="N12" s="154"/>
      <c r="O12" s="51"/>
      <c r="P12" s="18"/>
      <c r="Q12" s="18"/>
      <c r="R12" s="18"/>
      <c r="S12" s="18"/>
      <c r="T12" s="18"/>
    </row>
    <row r="13" spans="1:21" s="20" customFormat="1" ht="11.25" x14ac:dyDescent="0.2">
      <c r="A13" s="28"/>
      <c r="B13" s="18"/>
      <c r="C13" s="18"/>
      <c r="D13" s="18"/>
      <c r="E13" s="18"/>
      <c r="F13" s="18"/>
      <c r="G13" s="18"/>
      <c r="H13" s="18"/>
      <c r="I13" s="18"/>
      <c r="J13" s="18"/>
      <c r="K13" s="30"/>
      <c r="L13" s="18"/>
      <c r="M13" s="52" t="s">
        <v>6</v>
      </c>
      <c r="N13" s="154" t="s">
        <v>80</v>
      </c>
      <c r="O13" s="53" t="s">
        <v>79</v>
      </c>
      <c r="P13" s="18"/>
      <c r="Q13" s="18"/>
      <c r="R13" s="18"/>
      <c r="S13" s="18"/>
      <c r="T13" s="18"/>
    </row>
    <row r="14" spans="1:21" s="20" customFormat="1" ht="11.25" x14ac:dyDescent="0.2">
      <c r="A14" s="28"/>
      <c r="B14" s="36" t="s">
        <v>7</v>
      </c>
      <c r="C14" s="49"/>
      <c r="D14" s="49"/>
      <c r="E14" s="49"/>
      <c r="F14" s="49"/>
      <c r="G14" s="49"/>
      <c r="H14" s="49"/>
      <c r="I14" s="49"/>
      <c r="J14" s="49"/>
      <c r="K14" s="30"/>
      <c r="L14" s="18"/>
      <c r="M14" s="152" t="s">
        <v>47</v>
      </c>
      <c r="N14" s="54">
        <v>90</v>
      </c>
      <c r="O14" s="156">
        <f>N14/$N$26</f>
        <v>0.9</v>
      </c>
      <c r="P14" s="18"/>
      <c r="Q14" s="18"/>
      <c r="R14" s="55" t="s">
        <v>63</v>
      </c>
      <c r="S14" s="18"/>
      <c r="T14" s="18" t="s">
        <v>47</v>
      </c>
      <c r="U14" s="20" t="s">
        <v>114</v>
      </c>
    </row>
    <row r="15" spans="1:21" s="20" customFormat="1" ht="11.25" x14ac:dyDescent="0.2">
      <c r="A15" s="28"/>
      <c r="B15" s="7" t="s">
        <v>37</v>
      </c>
      <c r="C15" s="49"/>
      <c r="D15" s="49"/>
      <c r="E15" s="167" t="s">
        <v>63</v>
      </c>
      <c r="F15" s="167"/>
      <c r="G15" s="167"/>
      <c r="H15" s="56"/>
      <c r="I15" s="56"/>
      <c r="J15" s="56"/>
      <c r="K15" s="30"/>
      <c r="L15" s="18"/>
      <c r="M15" s="153" t="s">
        <v>48</v>
      </c>
      <c r="N15" s="57">
        <v>5</v>
      </c>
      <c r="O15" s="157">
        <f t="shared" ref="O15:O25" si="0">N15/$N$26</f>
        <v>0.05</v>
      </c>
      <c r="P15" s="18"/>
      <c r="Q15" s="18"/>
      <c r="R15" s="55" t="s">
        <v>64</v>
      </c>
      <c r="S15" s="18"/>
      <c r="T15" s="18" t="s">
        <v>49</v>
      </c>
      <c r="U15" s="20" t="s">
        <v>115</v>
      </c>
    </row>
    <row r="16" spans="1:21" s="20" customFormat="1" ht="11.25" x14ac:dyDescent="0.2">
      <c r="A16" s="28"/>
      <c r="B16" s="7" t="s">
        <v>46</v>
      </c>
      <c r="C16" s="7"/>
      <c r="D16" s="7"/>
      <c r="E16" s="160" t="s">
        <v>47</v>
      </c>
      <c r="F16" s="160"/>
      <c r="G16" s="160"/>
      <c r="H16" s="7"/>
      <c r="I16" s="7"/>
      <c r="J16" s="7"/>
      <c r="K16" s="30"/>
      <c r="L16" s="18"/>
      <c r="M16" s="153" t="s">
        <v>49</v>
      </c>
      <c r="N16" s="57">
        <v>5</v>
      </c>
      <c r="O16" s="157">
        <f t="shared" si="0"/>
        <v>0.05</v>
      </c>
      <c r="P16" s="18"/>
      <c r="Q16" s="18"/>
      <c r="R16" s="55" t="s">
        <v>65</v>
      </c>
      <c r="S16" s="18"/>
      <c r="T16" s="18" t="s">
        <v>50</v>
      </c>
    </row>
    <row r="17" spans="1:25" s="20" customFormat="1" ht="11.25" x14ac:dyDescent="0.2">
      <c r="A17" s="28"/>
      <c r="B17" s="20" t="s">
        <v>116</v>
      </c>
      <c r="E17" s="160" t="s">
        <v>115</v>
      </c>
      <c r="F17" s="160"/>
      <c r="G17" s="160"/>
      <c r="K17" s="30"/>
      <c r="L17" s="18"/>
      <c r="M17" s="153" t="s">
        <v>51</v>
      </c>
      <c r="N17" s="57"/>
      <c r="O17" s="157">
        <f t="shared" si="0"/>
        <v>0</v>
      </c>
      <c r="P17" s="18"/>
      <c r="Q17" s="18"/>
      <c r="R17" s="18" t="s">
        <v>66</v>
      </c>
      <c r="S17" s="18"/>
      <c r="T17" s="18" t="s">
        <v>59</v>
      </c>
    </row>
    <row r="18" spans="1:25" s="20" customFormat="1" ht="11.25" x14ac:dyDescent="0.2">
      <c r="A18" s="28"/>
      <c r="E18" s="175"/>
      <c r="F18" s="175"/>
      <c r="G18" s="175"/>
      <c r="K18" s="30"/>
      <c r="L18" s="18"/>
      <c r="M18" s="153" t="s">
        <v>50</v>
      </c>
      <c r="N18" s="57"/>
      <c r="O18" s="158">
        <f t="shared" si="0"/>
        <v>0</v>
      </c>
      <c r="P18" s="18"/>
      <c r="Q18" s="18"/>
      <c r="R18" s="18" t="s">
        <v>67</v>
      </c>
      <c r="S18" s="18"/>
      <c r="T18" s="18"/>
      <c r="U18" s="18"/>
      <c r="V18" s="58"/>
      <c r="W18" s="59"/>
      <c r="X18" s="18"/>
      <c r="Y18" s="18"/>
    </row>
    <row r="19" spans="1:25" s="20" customFormat="1" ht="11.25" x14ac:dyDescent="0.2">
      <c r="A19" s="28"/>
      <c r="B19" s="60" t="s">
        <v>9</v>
      </c>
      <c r="C19" s="7"/>
      <c r="D19" s="7"/>
      <c r="E19" s="18"/>
      <c r="F19" s="18"/>
      <c r="K19" s="30"/>
      <c r="L19" s="18"/>
      <c r="M19" s="153" t="s">
        <v>52</v>
      </c>
      <c r="N19" s="57"/>
      <c r="O19" s="158">
        <f t="shared" si="0"/>
        <v>0</v>
      </c>
      <c r="P19" s="18"/>
      <c r="Q19" s="18"/>
      <c r="R19" s="18"/>
      <c r="S19" s="18"/>
      <c r="T19" s="18"/>
      <c r="U19" s="18"/>
      <c r="V19" s="18"/>
      <c r="W19" s="18"/>
      <c r="X19" s="58"/>
      <c r="Y19" s="18"/>
    </row>
    <row r="20" spans="1:25" s="20" customFormat="1" ht="11.25" x14ac:dyDescent="0.2">
      <c r="A20" s="28"/>
      <c r="B20" s="18" t="s">
        <v>38</v>
      </c>
      <c r="C20" s="18"/>
      <c r="D20" s="18"/>
      <c r="E20" s="61">
        <v>15</v>
      </c>
      <c r="F20" s="18" t="s">
        <v>12</v>
      </c>
      <c r="G20" s="20" t="s">
        <v>118</v>
      </c>
      <c r="I20" s="72">
        <v>3</v>
      </c>
      <c r="J20" s="58" t="s">
        <v>78</v>
      </c>
      <c r="K20" s="30"/>
      <c r="L20" s="18"/>
      <c r="M20" s="153" t="s">
        <v>53</v>
      </c>
      <c r="N20" s="57"/>
      <c r="O20" s="158">
        <f t="shared" si="0"/>
        <v>0</v>
      </c>
      <c r="P20" s="5"/>
      <c r="Q20" s="5"/>
      <c r="R20" s="5"/>
      <c r="S20" s="18"/>
      <c r="T20" s="18"/>
      <c r="U20" s="18"/>
      <c r="V20" s="18"/>
      <c r="W20" s="18"/>
      <c r="X20" s="58"/>
      <c r="Y20" s="18"/>
    </row>
    <row r="21" spans="1:25" s="20" customFormat="1" ht="11.25" x14ac:dyDescent="0.2">
      <c r="A21" s="28"/>
      <c r="B21" s="18" t="s">
        <v>39</v>
      </c>
      <c r="C21" s="18"/>
      <c r="D21" s="18"/>
      <c r="E21" s="61">
        <v>300</v>
      </c>
      <c r="F21" s="18" t="s">
        <v>42</v>
      </c>
      <c r="G21" s="20" t="s">
        <v>119</v>
      </c>
      <c r="I21" s="72">
        <v>16.7</v>
      </c>
      <c r="J21" s="20" t="s">
        <v>127</v>
      </c>
      <c r="K21" s="63"/>
      <c r="L21" s="18"/>
      <c r="M21" s="153" t="s">
        <v>54</v>
      </c>
      <c r="N21" s="57"/>
      <c r="O21" s="158">
        <f t="shared" si="0"/>
        <v>0</v>
      </c>
      <c r="P21" s="64"/>
      <c r="Q21" s="64"/>
      <c r="R21" s="64"/>
      <c r="S21" s="18"/>
      <c r="T21" s="18"/>
      <c r="U21" s="18"/>
      <c r="V21" s="58"/>
      <c r="W21" s="59"/>
      <c r="X21" s="58"/>
      <c r="Y21" s="18"/>
    </row>
    <row r="22" spans="1:25" s="20" customFormat="1" ht="11.25" x14ac:dyDescent="0.2">
      <c r="A22" s="28"/>
      <c r="B22" s="58" t="s">
        <v>40</v>
      </c>
      <c r="C22" s="18"/>
      <c r="D22" s="18"/>
      <c r="E22" s="61">
        <v>10</v>
      </c>
      <c r="F22" s="18" t="s">
        <v>41</v>
      </c>
      <c r="G22" s="20" t="s">
        <v>121</v>
      </c>
      <c r="I22" s="176">
        <v>9.0700000000000003E-2</v>
      </c>
      <c r="J22" s="20" t="s">
        <v>127</v>
      </c>
      <c r="K22" s="30"/>
      <c r="L22" s="18"/>
      <c r="M22" s="153" t="s">
        <v>55</v>
      </c>
      <c r="N22" s="57"/>
      <c r="O22" s="158">
        <f t="shared" si="0"/>
        <v>0</v>
      </c>
      <c r="P22" s="64"/>
      <c r="Q22" s="64"/>
      <c r="R22" s="64"/>
      <c r="S22" s="18"/>
      <c r="T22" s="18"/>
      <c r="U22" s="65"/>
      <c r="V22" s="18"/>
      <c r="W22" s="18"/>
    </row>
    <row r="23" spans="1:25" s="20" customFormat="1" ht="11.25" x14ac:dyDescent="0.2">
      <c r="A23" s="28"/>
      <c r="B23" s="58" t="s">
        <v>60</v>
      </c>
      <c r="C23" s="18"/>
      <c r="D23" s="18"/>
      <c r="E23" s="61">
        <v>0</v>
      </c>
      <c r="F23" s="58" t="s">
        <v>61</v>
      </c>
      <c r="G23" s="20" t="s">
        <v>122</v>
      </c>
      <c r="I23" s="176">
        <v>2.42</v>
      </c>
      <c r="J23" s="58" t="s">
        <v>78</v>
      </c>
      <c r="K23" s="63"/>
      <c r="L23" s="18"/>
      <c r="M23" s="153" t="s">
        <v>56</v>
      </c>
      <c r="N23" s="57"/>
      <c r="O23" s="158">
        <f t="shared" si="0"/>
        <v>0</v>
      </c>
      <c r="P23" s="55"/>
      <c r="Q23" s="66"/>
      <c r="R23" s="55"/>
      <c r="S23" s="18"/>
      <c r="T23" s="18"/>
      <c r="U23" s="18"/>
      <c r="V23" s="58"/>
      <c r="Y23" s="18"/>
    </row>
    <row r="24" spans="1:25" s="20" customFormat="1" ht="11.25" x14ac:dyDescent="0.2">
      <c r="A24" s="28"/>
      <c r="B24" s="20" t="s">
        <v>112</v>
      </c>
      <c r="E24" s="131">
        <v>0</v>
      </c>
      <c r="F24" s="20" t="s">
        <v>78</v>
      </c>
      <c r="G24" s="20" t="s">
        <v>123</v>
      </c>
      <c r="I24" s="176">
        <v>8.0000000000000002E-3</v>
      </c>
      <c r="J24" s="20" t="s">
        <v>127</v>
      </c>
      <c r="K24" s="30"/>
      <c r="L24" s="18"/>
      <c r="M24" s="153" t="s">
        <v>57</v>
      </c>
      <c r="N24" s="57"/>
      <c r="O24" s="158">
        <f t="shared" si="0"/>
        <v>0</v>
      </c>
      <c r="P24" s="55"/>
      <c r="Q24" s="66"/>
      <c r="R24" s="55"/>
      <c r="S24" s="18"/>
      <c r="T24" s="58"/>
      <c r="U24" s="67"/>
      <c r="V24" s="58"/>
      <c r="W24" s="59"/>
      <c r="X24" s="58"/>
      <c r="Y24" s="18"/>
    </row>
    <row r="25" spans="1:25" s="20" customFormat="1" ht="11.25" x14ac:dyDescent="0.2">
      <c r="A25" s="28"/>
      <c r="B25" s="20" t="s">
        <v>117</v>
      </c>
      <c r="E25" s="131">
        <v>0.1</v>
      </c>
      <c r="F25" s="20" t="s">
        <v>113</v>
      </c>
      <c r="G25" s="18" t="s">
        <v>124</v>
      </c>
      <c r="H25" s="58"/>
      <c r="I25" s="176">
        <v>4.3999999999999997E-2</v>
      </c>
      <c r="J25" s="20" t="s">
        <v>78</v>
      </c>
      <c r="K25" s="30"/>
      <c r="L25" s="18"/>
      <c r="M25" s="153" t="s">
        <v>58</v>
      </c>
      <c r="N25" s="57"/>
      <c r="O25" s="158">
        <f t="shared" si="0"/>
        <v>0</v>
      </c>
      <c r="P25" s="55"/>
      <c r="Q25" s="66"/>
      <c r="R25" s="55"/>
      <c r="S25" s="18"/>
      <c r="T25" s="58"/>
      <c r="U25" s="67"/>
      <c r="V25" s="58"/>
      <c r="W25" s="59"/>
      <c r="X25" s="58"/>
      <c r="Y25" s="18"/>
    </row>
    <row r="26" spans="1:25" s="20" customFormat="1" ht="11.25" x14ac:dyDescent="0.2">
      <c r="A26" s="28"/>
      <c r="B26" s="18" t="s">
        <v>68</v>
      </c>
      <c r="C26" s="18"/>
      <c r="D26" s="18"/>
      <c r="E26" s="131">
        <v>1</v>
      </c>
      <c r="F26" s="20" t="s">
        <v>69</v>
      </c>
      <c r="G26" s="20" t="s">
        <v>128</v>
      </c>
      <c r="I26" s="176">
        <v>0</v>
      </c>
      <c r="J26" s="18" t="s">
        <v>129</v>
      </c>
      <c r="K26" s="30" t="s">
        <v>11</v>
      </c>
      <c r="L26" s="18"/>
      <c r="M26" s="155" t="s">
        <v>81</v>
      </c>
      <c r="N26" s="154">
        <f>SUM(N14:N24)</f>
        <v>100</v>
      </c>
      <c r="O26" s="154">
        <f>SUM(O14:O24)</f>
        <v>1</v>
      </c>
      <c r="P26" s="55"/>
      <c r="Q26" s="66"/>
      <c r="R26" s="55"/>
      <c r="S26" s="18"/>
      <c r="T26" s="18"/>
      <c r="U26" s="18"/>
      <c r="V26" s="58"/>
      <c r="W26" s="18"/>
      <c r="X26" s="18"/>
      <c r="Y26" s="18"/>
    </row>
    <row r="27" spans="1:25" s="20" customFormat="1" ht="11.25" x14ac:dyDescent="0.2">
      <c r="A27" s="28"/>
      <c r="B27" s="18" t="s">
        <v>43</v>
      </c>
      <c r="C27" s="18"/>
      <c r="D27" s="18"/>
      <c r="E27" s="72">
        <v>15</v>
      </c>
      <c r="F27" s="18" t="s">
        <v>12</v>
      </c>
      <c r="J27" s="18"/>
      <c r="K27" s="30"/>
      <c r="L27" s="18"/>
      <c r="M27" s="7"/>
      <c r="O27" s="149"/>
      <c r="P27" s="55"/>
      <c r="Q27" s="66"/>
      <c r="R27" s="55"/>
      <c r="S27" s="18"/>
      <c r="T27" s="58"/>
      <c r="U27" s="67"/>
      <c r="V27" s="58"/>
      <c r="W27" s="18"/>
      <c r="X27" s="18"/>
      <c r="Y27" s="18"/>
    </row>
    <row r="28" spans="1:25" s="20" customFormat="1" ht="11.25" x14ac:dyDescent="0.2">
      <c r="A28" s="28"/>
      <c r="B28" s="18" t="s">
        <v>44</v>
      </c>
      <c r="C28" s="18"/>
      <c r="D28" s="18"/>
      <c r="E28" s="130">
        <v>1.0129999999999999</v>
      </c>
      <c r="F28" s="18" t="s">
        <v>42</v>
      </c>
      <c r="G28" s="19" t="s">
        <v>70</v>
      </c>
      <c r="H28" s="60"/>
      <c r="I28" s="18"/>
      <c r="J28" s="58"/>
      <c r="K28" s="30"/>
      <c r="L28" s="18"/>
      <c r="M28" s="7"/>
      <c r="O28" s="149"/>
      <c r="P28" s="55"/>
      <c r="Q28" s="55"/>
      <c r="R28" s="55"/>
      <c r="S28" s="18"/>
      <c r="T28" s="18"/>
      <c r="U28" s="18"/>
      <c r="V28" s="58"/>
      <c r="W28" s="18"/>
      <c r="X28" s="18"/>
      <c r="Y28" s="18"/>
    </row>
    <row r="29" spans="1:25" s="20" customFormat="1" ht="11.25" x14ac:dyDescent="0.2">
      <c r="A29" s="28"/>
      <c r="B29" s="18" t="s">
        <v>120</v>
      </c>
      <c r="C29" s="18"/>
      <c r="D29" s="18"/>
      <c r="E29" s="72">
        <v>2</v>
      </c>
      <c r="F29" s="58" t="s">
        <v>78</v>
      </c>
      <c r="G29" s="58"/>
      <c r="H29" s="18"/>
      <c r="I29" s="74"/>
      <c r="J29" s="58"/>
      <c r="K29" s="30"/>
      <c r="L29" s="18"/>
      <c r="M29" s="7"/>
      <c r="O29" s="149"/>
      <c r="P29" s="55"/>
      <c r="Q29" s="55"/>
      <c r="R29" s="55"/>
      <c r="S29" s="18"/>
      <c r="T29" s="18"/>
      <c r="U29" s="67"/>
      <c r="V29" s="58"/>
      <c r="W29" s="18"/>
      <c r="X29" s="18"/>
      <c r="Y29" s="18"/>
    </row>
    <row r="30" spans="1:25" s="20" customFormat="1" ht="11.25" x14ac:dyDescent="0.2">
      <c r="A30" s="28"/>
      <c r="B30" s="58" t="s">
        <v>125</v>
      </c>
      <c r="C30" s="18"/>
      <c r="D30" s="18"/>
      <c r="E30" s="72">
        <v>0</v>
      </c>
      <c r="F30" s="20" t="s">
        <v>78</v>
      </c>
      <c r="G30" s="18"/>
      <c r="H30" s="18"/>
      <c r="I30" s="74"/>
      <c r="J30" s="58"/>
      <c r="K30" s="30"/>
      <c r="L30" s="18"/>
      <c r="M30" s="7"/>
      <c r="O30" s="149"/>
      <c r="P30" s="55"/>
      <c r="Q30" s="55"/>
      <c r="S30" s="18"/>
      <c r="T30" s="18"/>
      <c r="U30" s="65"/>
      <c r="V30" s="58"/>
      <c r="W30" s="18"/>
      <c r="X30" s="70"/>
      <c r="Y30" s="18"/>
    </row>
    <row r="31" spans="1:25" s="20" customFormat="1" ht="11.25" x14ac:dyDescent="0.2">
      <c r="A31" s="71"/>
      <c r="B31" s="18" t="s">
        <v>126</v>
      </c>
      <c r="C31" s="18"/>
      <c r="D31" s="18"/>
      <c r="E31" s="72">
        <v>0</v>
      </c>
      <c r="F31" s="20" t="s">
        <v>78</v>
      </c>
      <c r="G31" s="18"/>
      <c r="H31" s="60"/>
      <c r="I31" s="74"/>
      <c r="J31" s="18"/>
      <c r="K31" s="30"/>
      <c r="L31" s="18"/>
      <c r="M31" s="7"/>
      <c r="O31" s="149"/>
      <c r="P31" s="55"/>
      <c r="Q31" s="55"/>
      <c r="S31" s="18"/>
      <c r="T31" s="18"/>
      <c r="U31" s="18"/>
      <c r="V31" s="58"/>
      <c r="W31" s="18"/>
      <c r="X31" s="18"/>
      <c r="Y31" s="18"/>
    </row>
    <row r="32" spans="1:25" s="20" customFormat="1" ht="11.25" x14ac:dyDescent="0.2">
      <c r="A32" s="71"/>
      <c r="B32" s="20" t="s">
        <v>130</v>
      </c>
      <c r="E32" s="72">
        <v>100</v>
      </c>
      <c r="F32" s="20" t="s">
        <v>131</v>
      </c>
      <c r="G32" s="18"/>
      <c r="H32" s="62"/>
      <c r="I32" s="74"/>
      <c r="J32" s="18"/>
      <c r="K32" s="30"/>
      <c r="L32" s="18"/>
      <c r="M32" s="7"/>
      <c r="O32" s="149"/>
      <c r="P32" s="55"/>
      <c r="Q32" s="55"/>
      <c r="R32" s="55"/>
      <c r="S32" s="18"/>
      <c r="T32" s="18"/>
      <c r="U32" s="67"/>
      <c r="V32" s="58"/>
      <c r="W32" s="18"/>
      <c r="X32" s="18"/>
      <c r="Y32" s="18"/>
    </row>
    <row r="33" spans="1:25" s="20" customFormat="1" ht="11.25" x14ac:dyDescent="0.2">
      <c r="A33" s="71"/>
      <c r="B33" s="58"/>
      <c r="C33" s="18"/>
      <c r="D33" s="18"/>
      <c r="E33" s="18"/>
      <c r="G33" s="18"/>
      <c r="H33" s="58"/>
      <c r="I33" s="18"/>
      <c r="J33" s="18"/>
      <c r="K33" s="30"/>
      <c r="L33" s="18"/>
      <c r="M33" s="7"/>
      <c r="O33" s="149"/>
      <c r="P33" s="55"/>
      <c r="Q33" s="55"/>
      <c r="R33" s="55"/>
      <c r="S33" s="18"/>
      <c r="T33" s="18"/>
      <c r="U33" s="18"/>
      <c r="V33" s="58"/>
      <c r="W33" s="18"/>
      <c r="X33" s="18"/>
      <c r="Y33" s="18"/>
    </row>
    <row r="34" spans="1:25" s="20" customFormat="1" ht="11.25" x14ac:dyDescent="0.2">
      <c r="A34" s="28"/>
      <c r="G34" s="58"/>
      <c r="H34" s="18"/>
      <c r="I34" s="18"/>
      <c r="J34" s="18"/>
      <c r="K34" s="30"/>
      <c r="L34" s="18"/>
      <c r="M34" s="7"/>
      <c r="O34" s="149"/>
      <c r="P34" s="55"/>
      <c r="Q34" s="55"/>
      <c r="R34" s="55"/>
      <c r="S34" s="18"/>
      <c r="T34" s="18"/>
      <c r="U34" s="18"/>
      <c r="V34" s="58"/>
      <c r="W34" s="18"/>
      <c r="X34" s="18"/>
      <c r="Y34" s="18"/>
    </row>
    <row r="35" spans="1:25" s="20" customFormat="1" ht="11.25" x14ac:dyDescent="0.2">
      <c r="A35" s="71"/>
      <c r="B35" s="36"/>
      <c r="C35" s="18"/>
      <c r="D35" s="18"/>
      <c r="E35" s="18"/>
      <c r="F35" s="18"/>
      <c r="G35" s="73"/>
      <c r="H35" s="58"/>
      <c r="I35" s="18"/>
      <c r="J35" s="18"/>
      <c r="K35" s="30"/>
      <c r="L35" s="18"/>
      <c r="M35" s="7"/>
      <c r="O35" s="149"/>
      <c r="P35" s="55"/>
      <c r="Q35" s="55"/>
      <c r="R35" s="55"/>
      <c r="S35" s="18"/>
      <c r="T35" s="18"/>
      <c r="U35" s="67"/>
      <c r="V35" s="58"/>
      <c r="W35" s="18"/>
      <c r="X35" s="18"/>
      <c r="Y35" s="18"/>
    </row>
    <row r="36" spans="1:25" s="20" customFormat="1" ht="11.25" x14ac:dyDescent="0.2">
      <c r="A36" s="71"/>
      <c r="B36" s="18"/>
      <c r="C36" s="18"/>
      <c r="D36" s="18"/>
      <c r="E36" s="18"/>
      <c r="G36" s="58"/>
      <c r="H36" s="58"/>
      <c r="I36" s="18"/>
      <c r="J36" s="18"/>
      <c r="K36" s="30"/>
      <c r="L36" s="18"/>
      <c r="M36" s="7"/>
      <c r="O36" s="149"/>
      <c r="P36" s="55"/>
      <c r="Q36" s="55"/>
      <c r="R36" s="55"/>
      <c r="S36" s="18"/>
      <c r="T36" s="18"/>
      <c r="U36" s="18"/>
      <c r="V36" s="58"/>
      <c r="W36" s="18"/>
      <c r="X36" s="18"/>
      <c r="Y36" s="18"/>
    </row>
    <row r="37" spans="1:25" s="20" customFormat="1" ht="11.25" x14ac:dyDescent="0.2">
      <c r="A37" s="71"/>
      <c r="B37" s="18"/>
      <c r="C37" s="18"/>
      <c r="D37" s="18"/>
      <c r="E37" s="18"/>
      <c r="G37" s="58"/>
      <c r="H37" s="58"/>
      <c r="I37" s="18"/>
      <c r="J37" s="18"/>
      <c r="K37" s="30"/>
      <c r="L37" s="18"/>
      <c r="M37" s="19"/>
      <c r="O37" s="149"/>
      <c r="P37" s="55"/>
      <c r="Q37" s="55"/>
      <c r="R37" s="55"/>
      <c r="S37" s="18"/>
      <c r="T37" s="18"/>
      <c r="U37" s="75"/>
      <c r="V37" s="58"/>
      <c r="W37" s="18"/>
      <c r="X37" s="18"/>
      <c r="Y37" s="18"/>
    </row>
    <row r="38" spans="1:25" s="20" customFormat="1" ht="11.25" x14ac:dyDescent="0.2">
      <c r="A38" s="71"/>
      <c r="B38" s="58"/>
      <c r="C38" s="18"/>
      <c r="D38" s="18"/>
      <c r="E38" s="18"/>
      <c r="G38" s="58"/>
      <c r="H38" s="58"/>
      <c r="I38" s="18"/>
      <c r="J38" s="76"/>
      <c r="K38" s="30"/>
      <c r="L38" s="18"/>
      <c r="M38" s="7"/>
      <c r="O38" s="149"/>
      <c r="P38" s="77"/>
      <c r="Q38" s="77"/>
      <c r="R38" s="77"/>
      <c r="S38" s="18"/>
      <c r="T38" s="18"/>
      <c r="U38" s="18"/>
      <c r="V38" s="58"/>
      <c r="W38" s="18"/>
      <c r="X38" s="18"/>
      <c r="Y38" s="18"/>
    </row>
    <row r="39" spans="1:25" s="20" customFormat="1" ht="11.25" x14ac:dyDescent="0.2">
      <c r="A39" s="71"/>
      <c r="B39" s="132"/>
      <c r="C39" s="132"/>
      <c r="D39" s="132"/>
      <c r="E39" s="132"/>
      <c r="F39" s="133"/>
      <c r="G39" s="134"/>
      <c r="H39" s="134"/>
      <c r="I39" s="132"/>
      <c r="J39" s="132"/>
      <c r="K39" s="30"/>
      <c r="L39" s="18"/>
      <c r="M39" s="7" t="str">
        <f>[1]PSEUDO_COMPONENTS!I3</f>
        <v/>
      </c>
      <c r="O39" s="149"/>
      <c r="P39" s="77"/>
      <c r="Q39" s="77"/>
      <c r="R39" s="77"/>
      <c r="S39" s="18"/>
      <c r="T39" s="58"/>
      <c r="U39" s="67"/>
      <c r="V39" s="58"/>
      <c r="W39" s="18"/>
      <c r="X39" s="18"/>
      <c r="Y39" s="18"/>
    </row>
    <row r="40" spans="1:25" s="20" customFormat="1" ht="11.25" x14ac:dyDescent="0.2">
      <c r="A40" s="71"/>
      <c r="B40" s="132"/>
      <c r="C40" s="132"/>
      <c r="D40" s="132"/>
      <c r="E40" s="132"/>
      <c r="F40" s="132"/>
      <c r="G40" s="132"/>
      <c r="H40" s="132"/>
      <c r="I40" s="132"/>
      <c r="J40" s="135"/>
      <c r="K40" s="30"/>
      <c r="L40" s="18"/>
      <c r="M40" s="7" t="str">
        <f>[1]PSEUDO_COMPONENTS!I4</f>
        <v/>
      </c>
      <c r="O40" s="150"/>
      <c r="P40" s="77"/>
      <c r="Q40" s="77"/>
      <c r="R40" s="77"/>
      <c r="S40" s="18"/>
      <c r="T40" s="18"/>
      <c r="U40" s="18"/>
      <c r="V40" s="58"/>
      <c r="W40" s="18"/>
      <c r="X40" s="18"/>
      <c r="Y40" s="18"/>
    </row>
    <row r="41" spans="1:25" s="20" customFormat="1" ht="11.25" x14ac:dyDescent="0.2">
      <c r="A41" s="28"/>
      <c r="B41" s="136"/>
      <c r="C41" s="132"/>
      <c r="D41" s="132"/>
      <c r="E41" s="132"/>
      <c r="F41" s="132"/>
      <c r="G41" s="137"/>
      <c r="H41" s="134"/>
      <c r="I41" s="132"/>
      <c r="J41" s="135"/>
      <c r="K41" s="30"/>
      <c r="L41" s="70"/>
      <c r="M41" s="7" t="str">
        <f>[1]PSEUDO_COMPONENTS!I5</f>
        <v/>
      </c>
      <c r="O41" s="151"/>
      <c r="P41" s="77"/>
      <c r="Q41" s="77"/>
      <c r="R41" s="77"/>
      <c r="S41" s="18"/>
      <c r="T41" s="18"/>
      <c r="U41" s="79"/>
      <c r="V41" s="58"/>
      <c r="W41" s="18"/>
      <c r="X41" s="78"/>
      <c r="Y41" s="18"/>
    </row>
    <row r="42" spans="1:25" s="20" customFormat="1" ht="11.25" x14ac:dyDescent="0.2">
      <c r="A42" s="28"/>
      <c r="B42" s="132"/>
      <c r="C42" s="132"/>
      <c r="D42" s="132"/>
      <c r="E42" s="132"/>
      <c r="F42" s="133"/>
      <c r="G42" s="132"/>
      <c r="H42" s="134"/>
      <c r="I42" s="132"/>
      <c r="J42" s="132"/>
      <c r="K42" s="30"/>
      <c r="L42" s="18"/>
      <c r="M42" s="7" t="str">
        <f>[1]PSEUDO_COMPONENTS!I6</f>
        <v/>
      </c>
      <c r="O42" s="151"/>
      <c r="P42" s="77"/>
      <c r="Q42" s="77"/>
      <c r="R42" s="77"/>
      <c r="S42" s="18"/>
      <c r="T42" s="18"/>
      <c r="U42" s="79"/>
      <c r="V42" s="58"/>
      <c r="W42" s="18"/>
      <c r="X42" s="78"/>
      <c r="Y42" s="18"/>
    </row>
    <row r="43" spans="1:25" s="20" customFormat="1" ht="11.25" x14ac:dyDescent="0.2">
      <c r="A43" s="28"/>
      <c r="B43" s="138"/>
      <c r="C43" s="132"/>
      <c r="D43" s="132"/>
      <c r="E43" s="132"/>
      <c r="F43" s="139"/>
      <c r="G43" s="134"/>
      <c r="H43" s="133"/>
      <c r="I43" s="140"/>
      <c r="J43" s="134"/>
      <c r="K43" s="30"/>
      <c r="L43" s="18"/>
      <c r="M43" s="7" t="str">
        <f>[1]PSEUDO_COMPONENTS!I7</f>
        <v/>
      </c>
      <c r="O43" s="151"/>
      <c r="P43" s="77"/>
      <c r="Q43" s="77"/>
      <c r="R43" s="77"/>
      <c r="S43" s="18"/>
      <c r="T43" s="18"/>
      <c r="U43" s="18"/>
      <c r="V43" s="58"/>
      <c r="W43" s="18"/>
      <c r="X43" s="18"/>
      <c r="Y43" s="18"/>
    </row>
    <row r="44" spans="1:25" s="20" customFormat="1" ht="11.25" x14ac:dyDescent="0.2">
      <c r="A44" s="28"/>
      <c r="B44" s="138"/>
      <c r="C44" s="136"/>
      <c r="D44" s="136"/>
      <c r="E44" s="136"/>
      <c r="F44" s="136"/>
      <c r="G44" s="141"/>
      <c r="H44" s="132"/>
      <c r="I44" s="142"/>
      <c r="J44" s="132"/>
      <c r="K44" s="30"/>
      <c r="L44" s="18"/>
      <c r="M44" s="7" t="str">
        <f>[1]PSEUDO_COMPONENTS!I8</f>
        <v/>
      </c>
      <c r="O44" s="151"/>
      <c r="P44" s="77"/>
      <c r="Q44" s="77"/>
      <c r="R44" s="77"/>
      <c r="S44" s="18"/>
      <c r="T44" s="58"/>
      <c r="U44" s="18"/>
      <c r="V44" s="18"/>
      <c r="W44" s="18"/>
      <c r="X44" s="18"/>
      <c r="Y44" s="18"/>
    </row>
    <row r="45" spans="1:25" s="20" customFormat="1" ht="11.25" x14ac:dyDescent="0.2">
      <c r="A45" s="28"/>
      <c r="B45" s="132"/>
      <c r="C45" s="132"/>
      <c r="D45" s="132"/>
      <c r="E45" s="132"/>
      <c r="F45" s="132"/>
      <c r="G45" s="132"/>
      <c r="H45" s="132"/>
      <c r="I45" s="132"/>
      <c r="J45" s="132"/>
      <c r="K45" s="30"/>
      <c r="L45" s="18"/>
      <c r="M45" s="7" t="str">
        <f>[1]PSEUDO_COMPONENTS!I9</f>
        <v/>
      </c>
      <c r="O45" s="151"/>
      <c r="P45" s="77"/>
      <c r="Q45" s="77"/>
      <c r="R45" s="77"/>
      <c r="S45" s="18"/>
      <c r="T45" s="18"/>
      <c r="U45" s="59"/>
      <c r="V45" s="58"/>
      <c r="W45" s="59"/>
      <c r="X45" s="18"/>
      <c r="Y45" s="18"/>
    </row>
    <row r="46" spans="1:25" s="20" customFormat="1" ht="11.25" x14ac:dyDescent="0.2">
      <c r="A46" s="28"/>
      <c r="B46" s="136"/>
      <c r="C46" s="132"/>
      <c r="D46" s="132"/>
      <c r="E46" s="132"/>
      <c r="F46" s="132"/>
      <c r="G46" s="132"/>
      <c r="H46" s="143"/>
      <c r="I46" s="144"/>
      <c r="J46" s="132"/>
      <c r="K46" s="30"/>
      <c r="L46" s="18"/>
      <c r="M46" s="7" t="str">
        <f>[1]PSEUDO_COMPONENTS!I10</f>
        <v/>
      </c>
      <c r="O46" s="151"/>
      <c r="P46" s="82"/>
      <c r="Q46" s="82"/>
      <c r="R46" s="82"/>
      <c r="S46" s="18"/>
      <c r="T46" s="18"/>
      <c r="U46" s="18"/>
      <c r="V46" s="18"/>
      <c r="W46" s="18"/>
      <c r="X46" s="18"/>
      <c r="Y46" s="18"/>
    </row>
    <row r="47" spans="1:25" s="20" customFormat="1" ht="11.25" x14ac:dyDescent="0.2">
      <c r="A47" s="28"/>
      <c r="B47" s="132"/>
      <c r="C47" s="136"/>
      <c r="D47" s="133"/>
      <c r="E47" s="145"/>
      <c r="F47" s="145"/>
      <c r="G47" s="132"/>
      <c r="H47" s="132"/>
      <c r="I47" s="143"/>
      <c r="J47" s="132"/>
      <c r="K47" s="30"/>
      <c r="L47" s="18"/>
      <c r="M47" s="7" t="str">
        <f>[1]PSEUDO_COMPONENTS!I11</f>
        <v/>
      </c>
      <c r="O47" s="151"/>
      <c r="P47" s="58"/>
      <c r="Q47" s="18"/>
      <c r="R47" s="18"/>
      <c r="S47" s="18"/>
      <c r="T47" s="18"/>
      <c r="U47" s="73"/>
      <c r="V47" s="62"/>
      <c r="W47" s="81"/>
      <c r="X47" s="18"/>
      <c r="Y47" s="18"/>
    </row>
    <row r="48" spans="1:25" s="20" customFormat="1" ht="11.25" x14ac:dyDescent="0.2">
      <c r="A48" s="28"/>
      <c r="B48" s="132"/>
      <c r="C48" s="132"/>
      <c r="D48" s="133"/>
      <c r="E48" s="145"/>
      <c r="F48" s="139"/>
      <c r="G48" s="134"/>
      <c r="H48" s="134"/>
      <c r="I48" s="142"/>
      <c r="J48" s="134"/>
      <c r="K48" s="63"/>
      <c r="L48" s="18"/>
      <c r="M48" s="7" t="str">
        <f>[1]PSEUDO_COMPONENTS!I12</f>
        <v/>
      </c>
      <c r="O48" s="148"/>
      <c r="P48" s="18"/>
      <c r="Q48" s="18"/>
      <c r="R48" s="18"/>
      <c r="S48" s="18"/>
      <c r="T48" s="18"/>
      <c r="U48" s="18"/>
      <c r="V48" s="18"/>
      <c r="W48" s="18"/>
      <c r="X48" s="18"/>
      <c r="Y48" s="18"/>
    </row>
    <row r="49" spans="1:25" s="20" customFormat="1" ht="11.25" x14ac:dyDescent="0.2">
      <c r="A49" s="28"/>
      <c r="B49" s="132"/>
      <c r="C49" s="136"/>
      <c r="D49" s="133"/>
      <c r="E49" s="145"/>
      <c r="F49" s="140"/>
      <c r="G49" s="134"/>
      <c r="H49" s="132"/>
      <c r="I49" s="146"/>
      <c r="J49" s="134"/>
      <c r="K49" s="63"/>
      <c r="L49" s="18"/>
      <c r="M49" s="7" t="str">
        <f>[1]PSEUDO_COMPONENTS!I13</f>
        <v/>
      </c>
      <c r="O49" s="148"/>
      <c r="P49" s="36"/>
      <c r="Q49" s="36"/>
      <c r="R49" s="36"/>
      <c r="S49" s="36"/>
      <c r="T49" s="36"/>
      <c r="U49" s="80"/>
      <c r="V49" s="18"/>
      <c r="W49" s="18"/>
      <c r="X49" s="83"/>
      <c r="Y49" s="58"/>
    </row>
    <row r="50" spans="1:25" s="20" customFormat="1" ht="11.25" x14ac:dyDescent="0.2">
      <c r="A50" s="28"/>
      <c r="B50" s="132"/>
      <c r="C50" s="132"/>
      <c r="D50" s="132"/>
      <c r="E50" s="133"/>
      <c r="F50" s="139"/>
      <c r="G50" s="134"/>
      <c r="H50" s="132"/>
      <c r="I50" s="139"/>
      <c r="J50" s="134"/>
      <c r="K50" s="63"/>
      <c r="L50" s="18"/>
      <c r="M50" s="7" t="str">
        <f>[1]PSEUDO_COMPONENTS!I14</f>
        <v/>
      </c>
      <c r="O50" s="148"/>
      <c r="P50" s="36"/>
      <c r="Q50" s="36"/>
      <c r="R50" s="36"/>
      <c r="S50" s="36"/>
      <c r="T50" s="36"/>
      <c r="U50" s="80"/>
      <c r="V50" s="18"/>
      <c r="W50" s="18"/>
      <c r="X50" s="83"/>
      <c r="Y50" s="58"/>
    </row>
    <row r="51" spans="1:25" s="20" customFormat="1" ht="11.25" x14ac:dyDescent="0.2">
      <c r="A51" s="28"/>
      <c r="B51" s="132"/>
      <c r="C51" s="132"/>
      <c r="D51" s="132"/>
      <c r="E51" s="132"/>
      <c r="F51" s="132"/>
      <c r="G51" s="132"/>
      <c r="H51" s="132"/>
      <c r="I51" s="132"/>
      <c r="J51" s="134"/>
      <c r="K51" s="63"/>
      <c r="L51" s="18"/>
      <c r="M51" s="7" t="str">
        <f>[1]PSEUDO_COMPONENTS!I15</f>
        <v/>
      </c>
      <c r="O51" s="148"/>
      <c r="P51" s="36"/>
      <c r="Q51" s="36"/>
      <c r="R51" s="36"/>
      <c r="S51" s="36"/>
      <c r="T51" s="36"/>
      <c r="U51" s="80"/>
      <c r="V51" s="18"/>
      <c r="W51" s="18"/>
      <c r="X51" s="83"/>
      <c r="Y51" s="58"/>
    </row>
    <row r="52" spans="1:25" s="20" customFormat="1" ht="11.25" x14ac:dyDescent="0.2">
      <c r="A52" s="28"/>
      <c r="B52" s="136"/>
      <c r="C52" s="132"/>
      <c r="D52" s="132"/>
      <c r="E52" s="132"/>
      <c r="F52" s="132"/>
      <c r="G52" s="132"/>
      <c r="H52" s="132"/>
      <c r="I52" s="132"/>
      <c r="J52" s="134"/>
      <c r="K52" s="63"/>
      <c r="L52" s="18"/>
      <c r="M52" s="7" t="str">
        <f>[1]PSEUDO_COMPONENTS!I16</f>
        <v/>
      </c>
      <c r="O52" s="148"/>
      <c r="P52" s="36"/>
      <c r="Q52" s="36"/>
      <c r="R52" s="36"/>
      <c r="S52" s="36"/>
      <c r="T52" s="36"/>
      <c r="U52" s="80"/>
      <c r="V52" s="18"/>
      <c r="W52" s="18"/>
      <c r="X52" s="83"/>
      <c r="Y52" s="58"/>
    </row>
    <row r="53" spans="1:25" s="20" customFormat="1" ht="11.25" x14ac:dyDescent="0.2">
      <c r="A53" s="28"/>
      <c r="B53" s="132"/>
      <c r="C53" s="132"/>
      <c r="D53" s="132"/>
      <c r="E53" s="132"/>
      <c r="F53" s="147"/>
      <c r="G53" s="132"/>
      <c r="H53" s="132"/>
      <c r="I53" s="132"/>
      <c r="J53" s="134"/>
      <c r="K53" s="63"/>
      <c r="L53" s="84"/>
      <c r="M53" s="7" t="str">
        <f>[1]PSEUDO_COMPONENTS!I17</f>
        <v/>
      </c>
      <c r="O53" s="148"/>
      <c r="P53" s="36"/>
      <c r="Q53" s="36"/>
      <c r="R53" s="36"/>
      <c r="S53" s="36"/>
      <c r="T53" s="36"/>
      <c r="U53" s="80"/>
      <c r="V53" s="18"/>
      <c r="W53" s="18"/>
      <c r="X53" s="83"/>
      <c r="Y53" s="58"/>
    </row>
    <row r="54" spans="1:25" s="20" customFormat="1" ht="11.25" x14ac:dyDescent="0.2">
      <c r="A54" s="28"/>
      <c r="B54" s="18"/>
      <c r="C54" s="18"/>
      <c r="D54" s="18"/>
      <c r="E54" s="18"/>
      <c r="G54" s="18"/>
      <c r="H54" s="18"/>
      <c r="I54" s="18"/>
      <c r="J54" s="18"/>
      <c r="K54" s="30"/>
      <c r="L54" s="85"/>
      <c r="M54" s="7" t="str">
        <f>[1]PSEUDO_COMPONENTS!I18</f>
        <v/>
      </c>
      <c r="O54" s="148"/>
      <c r="P54" s="36"/>
      <c r="Q54" s="36"/>
      <c r="R54" s="36"/>
      <c r="S54" s="36"/>
      <c r="T54" s="36"/>
      <c r="U54" s="80"/>
      <c r="V54" s="18"/>
      <c r="W54" s="18"/>
      <c r="X54" s="83"/>
      <c r="Y54" s="58"/>
    </row>
    <row r="55" spans="1:25" s="20" customFormat="1" ht="11.25" x14ac:dyDescent="0.2">
      <c r="A55" s="28"/>
      <c r="B55" s="18"/>
      <c r="C55" s="18"/>
      <c r="D55" s="18"/>
      <c r="E55" s="18"/>
      <c r="G55" s="18"/>
      <c r="H55" s="18"/>
      <c r="I55" s="18"/>
      <c r="J55" s="18"/>
      <c r="K55" s="30"/>
      <c r="L55" s="85"/>
      <c r="M55" s="7" t="str">
        <f>[1]PSEUDO_COMPONENTS!I19</f>
        <v/>
      </c>
      <c r="O55" s="148"/>
      <c r="P55" s="36"/>
      <c r="Q55" s="36"/>
      <c r="R55" s="36"/>
      <c r="S55" s="36"/>
      <c r="T55" s="36"/>
      <c r="U55" s="80"/>
      <c r="V55" s="18"/>
      <c r="W55" s="18"/>
      <c r="X55" s="83"/>
      <c r="Y55" s="58"/>
    </row>
    <row r="56" spans="1:25" s="20" customFormat="1" ht="11.25" x14ac:dyDescent="0.2">
      <c r="A56" s="28"/>
      <c r="B56" s="86"/>
      <c r="C56" s="18"/>
      <c r="D56" s="18"/>
      <c r="E56" s="18"/>
      <c r="G56" s="18"/>
      <c r="H56" s="18"/>
      <c r="I56" s="18"/>
      <c r="J56" s="18"/>
      <c r="K56" s="30"/>
      <c r="L56" s="85"/>
      <c r="M56" s="7" t="str">
        <f>[1]PSEUDO_COMPONENTS!I20</f>
        <v/>
      </c>
      <c r="O56" s="148"/>
      <c r="P56" s="36"/>
      <c r="Q56" s="36"/>
      <c r="R56" s="36"/>
      <c r="S56" s="36"/>
      <c r="T56" s="36"/>
      <c r="U56" s="80"/>
      <c r="V56" s="18"/>
      <c r="W56" s="18"/>
      <c r="X56" s="83"/>
      <c r="Y56" s="58"/>
    </row>
    <row r="57" spans="1:25" s="20" customFormat="1" ht="11.25" x14ac:dyDescent="0.2">
      <c r="A57" s="28"/>
      <c r="B57" s="86"/>
      <c r="C57" s="18"/>
      <c r="D57" s="18"/>
      <c r="E57" s="18"/>
      <c r="G57" s="18"/>
      <c r="H57" s="18"/>
      <c r="I57" s="18"/>
      <c r="J57" s="18"/>
      <c r="K57" s="30"/>
      <c r="L57" s="85"/>
      <c r="M57" s="7"/>
      <c r="O57" s="148"/>
      <c r="P57" s="36"/>
      <c r="Q57" s="36"/>
      <c r="R57" s="36"/>
      <c r="S57" s="36"/>
      <c r="T57" s="36"/>
      <c r="U57" s="80"/>
      <c r="V57" s="18"/>
      <c r="W57" s="18"/>
      <c r="X57" s="83"/>
      <c r="Y57" s="58"/>
    </row>
    <row r="58" spans="1:25" s="20" customFormat="1" ht="11.25" x14ac:dyDescent="0.2">
      <c r="A58" s="28"/>
      <c r="B58" s="86" t="str">
        <f>IF(O86&gt;0,"Output has been changed, output should not be changed manually.","")</f>
        <v/>
      </c>
      <c r="C58" s="18"/>
      <c r="D58" s="18"/>
      <c r="E58" s="18"/>
      <c r="G58" s="18"/>
      <c r="H58" s="18"/>
      <c r="I58" s="18"/>
      <c r="J58" s="18"/>
      <c r="K58" s="30"/>
      <c r="L58" s="85"/>
      <c r="M58" s="7" t="str">
        <f>[1]PSEUDO_COMPONENTS!I21</f>
        <v/>
      </c>
      <c r="O58" s="148"/>
      <c r="P58" s="36"/>
      <c r="Q58" s="36"/>
      <c r="R58" s="36"/>
      <c r="S58" s="36"/>
      <c r="T58" s="36"/>
      <c r="U58" s="80"/>
      <c r="V58" s="18"/>
      <c r="W58" s="18"/>
      <c r="X58" s="83"/>
      <c r="Y58" s="58"/>
    </row>
    <row r="59" spans="1:25" s="20" customFormat="1" ht="11.25" x14ac:dyDescent="0.2">
      <c r="A59" s="28"/>
      <c r="B59" s="86"/>
      <c r="C59" s="18"/>
      <c r="D59" s="18"/>
      <c r="E59" s="18"/>
      <c r="G59" s="18"/>
      <c r="H59" s="18"/>
      <c r="I59" s="18"/>
      <c r="J59" s="18"/>
      <c r="K59" s="30"/>
      <c r="L59" s="85"/>
      <c r="M59" s="7"/>
      <c r="N59" s="148"/>
      <c r="O59" s="62"/>
      <c r="P59" s="36"/>
      <c r="Q59" s="36"/>
      <c r="R59" s="36"/>
      <c r="S59" s="36"/>
      <c r="T59" s="36"/>
      <c r="U59" s="80"/>
      <c r="V59" s="18"/>
      <c r="W59" s="18"/>
      <c r="X59" s="83"/>
      <c r="Y59" s="58"/>
    </row>
    <row r="60" spans="1:25" s="20" customFormat="1" ht="11.25" x14ac:dyDescent="0.2">
      <c r="A60" s="28"/>
      <c r="B60" s="86"/>
      <c r="C60" s="18"/>
      <c r="D60" s="18"/>
      <c r="E60" s="18"/>
      <c r="G60" s="18"/>
      <c r="H60" s="18"/>
      <c r="I60" s="18"/>
      <c r="J60" s="18"/>
      <c r="K60" s="30"/>
      <c r="L60" s="85"/>
      <c r="M60" s="7"/>
      <c r="N60" s="148"/>
      <c r="O60" s="62"/>
      <c r="P60" s="36"/>
      <c r="Q60" s="36"/>
      <c r="R60" s="36"/>
      <c r="S60" s="36"/>
      <c r="T60" s="36"/>
      <c r="U60" s="80"/>
      <c r="V60" s="18"/>
      <c r="W60" s="18"/>
      <c r="X60" s="83"/>
      <c r="Y60" s="58"/>
    </row>
    <row r="61" spans="1:25" s="20" customFormat="1" ht="11.25" x14ac:dyDescent="0.2">
      <c r="A61" s="28"/>
      <c r="B61" s="86"/>
      <c r="C61" s="18"/>
      <c r="D61" s="18"/>
      <c r="E61" s="18"/>
      <c r="G61" s="18"/>
      <c r="H61" s="18"/>
      <c r="I61" s="18"/>
      <c r="J61" s="18"/>
      <c r="K61" s="30"/>
      <c r="L61" s="85"/>
      <c r="M61" s="7"/>
      <c r="N61" s="148"/>
      <c r="O61" s="62"/>
      <c r="P61" s="36"/>
      <c r="Q61" s="36"/>
      <c r="R61" s="36"/>
      <c r="S61" s="36"/>
      <c r="T61" s="36"/>
      <c r="U61" s="80"/>
      <c r="V61" s="18"/>
      <c r="W61" s="18"/>
      <c r="X61" s="83"/>
      <c r="Y61" s="58"/>
    </row>
    <row r="62" spans="1:25" s="20" customFormat="1" ht="11.25" x14ac:dyDescent="0.2">
      <c r="A62" s="28"/>
      <c r="B62" s="86"/>
      <c r="C62" s="18"/>
      <c r="D62" s="18"/>
      <c r="E62" s="18"/>
      <c r="G62" s="18"/>
      <c r="H62" s="18"/>
      <c r="I62" s="18"/>
      <c r="J62" s="18"/>
      <c r="K62" s="30"/>
      <c r="L62" s="85"/>
      <c r="M62" s="7"/>
      <c r="N62" s="148"/>
      <c r="O62" s="62"/>
      <c r="P62" s="36"/>
      <c r="Q62" s="36"/>
      <c r="R62" s="36"/>
      <c r="S62" s="36"/>
      <c r="T62" s="36"/>
      <c r="U62" s="80"/>
      <c r="V62" s="18"/>
      <c r="W62" s="18"/>
      <c r="X62" s="83"/>
      <c r="Y62" s="58"/>
    </row>
    <row r="63" spans="1:25" s="20" customFormat="1" ht="11.25" x14ac:dyDescent="0.2">
      <c r="A63" s="28"/>
      <c r="B63" s="86"/>
      <c r="C63" s="18"/>
      <c r="D63" s="18"/>
      <c r="E63" s="18"/>
      <c r="G63" s="18"/>
      <c r="H63" s="18"/>
      <c r="I63" s="18"/>
      <c r="J63" s="18"/>
      <c r="K63" s="30"/>
      <c r="L63" s="85"/>
      <c r="M63" s="7"/>
      <c r="N63" s="148"/>
      <c r="O63" s="62"/>
      <c r="P63" s="36"/>
      <c r="Q63" s="36"/>
      <c r="R63" s="36"/>
      <c r="S63" s="36"/>
      <c r="T63" s="36"/>
      <c r="U63" s="80"/>
      <c r="V63" s="18"/>
      <c r="W63" s="18"/>
      <c r="X63" s="83"/>
      <c r="Y63" s="58"/>
    </row>
    <row r="64" spans="1:25" s="20" customFormat="1" ht="11.25" x14ac:dyDescent="0.2">
      <c r="A64" s="125"/>
      <c r="B64" s="126"/>
      <c r="C64" s="126"/>
      <c r="D64" s="126"/>
      <c r="E64" s="126"/>
      <c r="F64" s="126"/>
      <c r="G64" s="126"/>
      <c r="H64" s="127"/>
      <c r="I64" s="126"/>
      <c r="J64" s="126"/>
      <c r="K64" s="128"/>
      <c r="L64" s="85"/>
      <c r="M64" s="85"/>
      <c r="N64" s="88"/>
      <c r="O64" s="62"/>
      <c r="P64" s="36"/>
      <c r="Q64" s="36"/>
      <c r="R64" s="36"/>
      <c r="S64" s="36"/>
      <c r="T64" s="36"/>
      <c r="U64" s="80"/>
      <c r="V64" s="18"/>
      <c r="W64" s="18"/>
      <c r="X64" s="83"/>
      <c r="Y64" s="58"/>
    </row>
    <row r="65" spans="1:20" s="90" customFormat="1" ht="11.25" x14ac:dyDescent="0.2">
      <c r="A65" s="91"/>
      <c r="B65" s="92"/>
      <c r="C65" s="92"/>
      <c r="D65" s="92"/>
      <c r="E65" s="92"/>
      <c r="F65" s="92"/>
      <c r="G65" s="92"/>
      <c r="H65" s="92"/>
      <c r="I65" s="92"/>
      <c r="J65" s="92"/>
      <c r="K65" s="93"/>
      <c r="L65" s="94"/>
      <c r="M65" s="94"/>
      <c r="N65" s="94"/>
      <c r="O65" s="94"/>
      <c r="P65" s="94"/>
      <c r="Q65" s="94"/>
      <c r="R65" s="94"/>
      <c r="S65" s="94"/>
      <c r="T65" s="94"/>
    </row>
    <row r="66" spans="1:20" s="20" customFormat="1" ht="11.25" x14ac:dyDescent="0.2">
      <c r="A66" s="91"/>
      <c r="C66" s="95"/>
      <c r="D66" s="96"/>
      <c r="E66" s="95"/>
      <c r="F66" s="95"/>
      <c r="G66" s="95"/>
      <c r="H66" s="95"/>
      <c r="I66" s="95"/>
      <c r="J66" s="95"/>
      <c r="K66" s="93"/>
      <c r="L66" s="18"/>
      <c r="N66" s="18"/>
      <c r="O66" s="18"/>
      <c r="P66" s="18"/>
      <c r="Q66" s="18"/>
      <c r="R66" s="18"/>
      <c r="S66" s="18"/>
      <c r="T66" s="18"/>
    </row>
    <row r="67" spans="1:20" s="20" customFormat="1" ht="11.25" x14ac:dyDescent="0.2">
      <c r="A67" s="91"/>
      <c r="B67" s="95"/>
      <c r="C67" s="95"/>
      <c r="D67" s="95"/>
      <c r="E67" s="95"/>
      <c r="F67" s="95"/>
      <c r="G67" s="95"/>
      <c r="H67" s="95"/>
      <c r="I67" s="95"/>
      <c r="J67" s="95"/>
      <c r="K67" s="93"/>
      <c r="L67" s="18"/>
      <c r="M67" s="18" t="s">
        <v>16</v>
      </c>
      <c r="N67" s="18"/>
      <c r="O67" s="18">
        <f>COUNTIF(O68:O84,"Error!")</f>
        <v>1</v>
      </c>
      <c r="P67" s="18"/>
      <c r="Q67" s="18"/>
      <c r="R67" s="18"/>
      <c r="S67" s="18"/>
      <c r="T67" s="18"/>
    </row>
    <row r="68" spans="1:20" s="20" customFormat="1" ht="11.25" x14ac:dyDescent="0.2">
      <c r="A68" s="91"/>
      <c r="C68" s="95"/>
      <c r="D68" s="95"/>
      <c r="E68" s="95"/>
      <c r="F68" s="97"/>
      <c r="G68" s="95"/>
      <c r="H68" s="95"/>
      <c r="I68" s="95"/>
      <c r="J68" s="95"/>
      <c r="K68" s="93"/>
      <c r="L68" s="18"/>
      <c r="M68" s="18" t="e">
        <f>GAS_API_MET</f>
        <v>#NAME?</v>
      </c>
      <c r="N68" s="18" t="s">
        <v>8</v>
      </c>
      <c r="O68" s="98" t="e">
        <f>IF(M68=N68,"","Error!")</f>
        <v>#NAME?</v>
      </c>
      <c r="P68" s="18"/>
      <c r="Q68" s="18"/>
      <c r="R68" s="18"/>
      <c r="S68" s="18"/>
      <c r="T68" s="18"/>
    </row>
    <row r="69" spans="1:20" s="20" customFormat="1" ht="11.25" x14ac:dyDescent="0.2">
      <c r="A69" s="91"/>
      <c r="B69" s="95"/>
      <c r="C69" s="95"/>
      <c r="D69" s="95"/>
      <c r="E69" s="95"/>
      <c r="F69" s="95"/>
      <c r="G69" s="95"/>
      <c r="H69" s="95"/>
      <c r="I69" s="95"/>
      <c r="J69" s="95"/>
      <c r="K69" s="93"/>
      <c r="L69" s="18"/>
      <c r="M69" s="18" t="str">
        <f>E16</f>
        <v>H2</v>
      </c>
      <c r="N69" s="18" t="s">
        <v>17</v>
      </c>
      <c r="O69" s="98" t="str">
        <f t="shared" ref="O69:O84" si="1">IF(M69=N69,"","Error!")</f>
        <v>Error!</v>
      </c>
      <c r="P69" s="18"/>
      <c r="Q69" s="18"/>
      <c r="R69" s="18"/>
      <c r="S69" s="18"/>
      <c r="T69" s="18"/>
    </row>
    <row r="70" spans="1:20" s="20" customFormat="1" ht="11.25" x14ac:dyDescent="0.2">
      <c r="A70" s="99"/>
      <c r="B70" s="95"/>
      <c r="C70" s="95"/>
      <c r="D70" s="7"/>
      <c r="E70" s="95"/>
      <c r="F70" s="100"/>
      <c r="G70" s="18"/>
      <c r="H70" s="18"/>
      <c r="I70" s="18"/>
      <c r="J70" s="95"/>
      <c r="K70" s="101"/>
      <c r="L70" s="18"/>
      <c r="M70" s="18" t="e">
        <f>#REF!</f>
        <v>#REF!</v>
      </c>
      <c r="N70" s="18" t="s">
        <v>18</v>
      </c>
      <c r="O70" s="98" t="e">
        <f t="shared" si="1"/>
        <v>#REF!</v>
      </c>
      <c r="P70" s="18"/>
      <c r="Q70" s="18"/>
      <c r="R70" s="18"/>
      <c r="S70" s="18"/>
      <c r="T70" s="18"/>
    </row>
    <row r="71" spans="1:20" s="20" customFormat="1" ht="11.25" x14ac:dyDescent="0.2">
      <c r="A71" s="99"/>
      <c r="B71" s="95"/>
      <c r="C71" s="95"/>
      <c r="D71" s="7"/>
      <c r="E71" s="95"/>
      <c r="F71" s="100"/>
      <c r="G71" s="18"/>
      <c r="H71" s="18"/>
      <c r="I71" s="18"/>
      <c r="J71" s="95"/>
      <c r="K71" s="101"/>
      <c r="L71" s="18"/>
      <c r="M71" s="18"/>
      <c r="N71" s="18"/>
      <c r="O71" s="98" t="str">
        <f t="shared" si="1"/>
        <v/>
      </c>
      <c r="P71" s="18"/>
      <c r="Q71" s="18"/>
      <c r="R71" s="18"/>
      <c r="S71" s="18"/>
      <c r="T71" s="18"/>
    </row>
    <row r="72" spans="1:20" s="20" customFormat="1" ht="10.5" customHeight="1" x14ac:dyDescent="0.2">
      <c r="A72" s="99"/>
      <c r="B72" s="92"/>
      <c r="C72" s="18"/>
      <c r="D72" s="18"/>
      <c r="E72" s="18"/>
      <c r="F72" s="18"/>
      <c r="G72" s="18"/>
      <c r="H72" s="18"/>
      <c r="I72" s="18"/>
      <c r="J72" s="92"/>
      <c r="K72" s="93"/>
      <c r="L72" s="18"/>
      <c r="M72" s="18" t="e">
        <f>GAS_MASS_FLOW</f>
        <v>#NAME?</v>
      </c>
      <c r="N72" s="18">
        <v>50000</v>
      </c>
      <c r="O72" s="98" t="e">
        <f t="shared" si="1"/>
        <v>#NAME?</v>
      </c>
      <c r="P72" s="18"/>
      <c r="Q72" s="18"/>
      <c r="R72" s="18"/>
      <c r="S72" s="18"/>
      <c r="T72" s="18"/>
    </row>
    <row r="73" spans="1:20" s="20" customFormat="1" ht="11.25" x14ac:dyDescent="0.2">
      <c r="A73" s="99"/>
      <c r="B73" s="92"/>
      <c r="C73" s="97"/>
      <c r="D73" s="97"/>
      <c r="E73" s="18"/>
      <c r="F73" s="161"/>
      <c r="G73" s="161"/>
      <c r="H73" s="161"/>
      <c r="I73" s="161"/>
      <c r="J73" s="92"/>
      <c r="K73" s="93"/>
      <c r="L73" s="18"/>
      <c r="M73" s="18" t="e">
        <f>GAS_SET_P</f>
        <v>#NAME?</v>
      </c>
      <c r="N73" s="18">
        <v>10</v>
      </c>
      <c r="O73" s="98" t="e">
        <f t="shared" si="1"/>
        <v>#NAME?</v>
      </c>
      <c r="P73" s="18"/>
      <c r="Q73" s="18"/>
      <c r="R73" s="18"/>
      <c r="S73" s="18"/>
      <c r="T73" s="18"/>
    </row>
    <row r="74" spans="1:20" s="20" customFormat="1" ht="10.5" customHeight="1" x14ac:dyDescent="0.2">
      <c r="A74" s="99"/>
      <c r="B74" s="92"/>
      <c r="C74" s="97"/>
      <c r="D74" s="97"/>
      <c r="E74" s="18"/>
      <c r="F74" s="97"/>
      <c r="G74" s="97"/>
      <c r="H74" s="97"/>
      <c r="I74" s="97"/>
      <c r="J74" s="92"/>
      <c r="K74" s="93"/>
      <c r="L74" s="18"/>
      <c r="M74" s="18" t="e">
        <f>GAS_REL_P</f>
        <v>#NAME?</v>
      </c>
      <c r="N74" s="18">
        <v>12.013525</v>
      </c>
      <c r="O74" s="98" t="e">
        <f t="shared" si="1"/>
        <v>#NAME?</v>
      </c>
      <c r="P74" s="18"/>
      <c r="Q74" s="18"/>
      <c r="R74" s="18"/>
      <c r="S74" s="18"/>
      <c r="T74" s="18"/>
    </row>
    <row r="75" spans="1:20" s="20" customFormat="1" ht="11.25" x14ac:dyDescent="0.2">
      <c r="A75" s="99"/>
      <c r="B75" s="92"/>
      <c r="C75" s="7"/>
      <c r="D75" s="18"/>
      <c r="E75" s="18"/>
      <c r="F75" s="102"/>
      <c r="G75" s="102"/>
      <c r="H75" s="102"/>
      <c r="I75" s="102"/>
      <c r="J75" s="92"/>
      <c r="K75" s="93"/>
      <c r="L75" s="18"/>
      <c r="M75" s="18" t="e">
        <f>GAS_ALLOWANCE</f>
        <v>#NAME?</v>
      </c>
      <c r="N75" s="18">
        <v>10</v>
      </c>
      <c r="O75" s="98" t="e">
        <f t="shared" si="1"/>
        <v>#NAME?</v>
      </c>
      <c r="P75" s="18"/>
      <c r="Q75" s="18"/>
      <c r="R75" s="18"/>
      <c r="S75" s="18"/>
      <c r="T75" s="18"/>
    </row>
    <row r="76" spans="1:20" s="20" customFormat="1" ht="11.25" x14ac:dyDescent="0.2">
      <c r="A76" s="99"/>
      <c r="B76" s="92"/>
      <c r="C76" s="7"/>
      <c r="D76" s="18"/>
      <c r="E76" s="18"/>
      <c r="F76" s="102"/>
      <c r="G76" s="102"/>
      <c r="H76" s="102"/>
      <c r="I76" s="102"/>
      <c r="J76" s="92"/>
      <c r="K76" s="93"/>
      <c r="L76" s="18"/>
      <c r="M76" s="18" t="e">
        <f>GAS_BACK_P</f>
        <v>#NAME?</v>
      </c>
      <c r="N76" s="18">
        <v>1</v>
      </c>
      <c r="O76" s="98" t="e">
        <f t="shared" si="1"/>
        <v>#NAME?</v>
      </c>
      <c r="P76" s="18"/>
      <c r="Q76" s="18"/>
      <c r="R76" s="18"/>
      <c r="S76" s="18"/>
      <c r="T76" s="18"/>
    </row>
    <row r="77" spans="1:20" s="20" customFormat="1" ht="11.25" x14ac:dyDescent="0.2">
      <c r="A77" s="99"/>
      <c r="B77" s="92"/>
      <c r="C77" s="7"/>
      <c r="D77" s="18"/>
      <c r="E77" s="18"/>
      <c r="F77" s="102"/>
      <c r="G77" s="102"/>
      <c r="H77" s="102"/>
      <c r="I77" s="102"/>
      <c r="J77" s="92"/>
      <c r="K77" s="93"/>
      <c r="L77" s="18"/>
      <c r="M77" s="18" t="e">
        <f>GAS_DP_LEAD</f>
        <v>#NAME?</v>
      </c>
      <c r="N77" s="18">
        <v>0</v>
      </c>
      <c r="O77" s="98" t="e">
        <f t="shared" si="1"/>
        <v>#NAME?</v>
      </c>
      <c r="P77" s="18"/>
      <c r="Q77" s="18"/>
      <c r="R77" s="18"/>
      <c r="S77" s="18"/>
      <c r="T77" s="18"/>
    </row>
    <row r="78" spans="1:20" s="20" customFormat="1" ht="11.25" x14ac:dyDescent="0.2">
      <c r="A78" s="99"/>
      <c r="B78" s="92"/>
      <c r="C78" s="7"/>
      <c r="D78" s="18"/>
      <c r="E78" s="18"/>
      <c r="F78" s="102"/>
      <c r="G78" s="102"/>
      <c r="H78" s="102"/>
      <c r="I78" s="102"/>
      <c r="J78" s="92"/>
      <c r="K78" s="93"/>
      <c r="L78" s="18"/>
      <c r="M78" s="18" t="e">
        <f>GAS_T_OPR</f>
        <v>#NAME?</v>
      </c>
      <c r="N78" s="18">
        <v>100</v>
      </c>
      <c r="O78" s="98" t="e">
        <f t="shared" si="1"/>
        <v>#NAME?</v>
      </c>
      <c r="P78" s="18"/>
      <c r="Q78" s="18"/>
      <c r="R78" s="18"/>
      <c r="S78" s="18"/>
      <c r="T78" s="18"/>
    </row>
    <row r="79" spans="1:20" s="20" customFormat="1" ht="11.25" x14ac:dyDescent="0.2">
      <c r="A79" s="99"/>
      <c r="B79" s="92"/>
      <c r="C79" s="7"/>
      <c r="D79" s="18"/>
      <c r="E79" s="18"/>
      <c r="F79" s="102"/>
      <c r="G79" s="102"/>
      <c r="H79" s="102"/>
      <c r="I79" s="102"/>
      <c r="J79" s="92"/>
      <c r="K79" s="93"/>
      <c r="L79" s="18"/>
      <c r="M79" s="18" t="e">
        <f>GAS_KD</f>
        <v>#REF!</v>
      </c>
      <c r="N79" s="18">
        <v>0.97499999999999998</v>
      </c>
      <c r="O79" s="98" t="e">
        <f t="shared" si="1"/>
        <v>#REF!</v>
      </c>
      <c r="P79" s="18"/>
      <c r="Q79" s="18"/>
      <c r="R79" s="18"/>
      <c r="S79" s="18"/>
      <c r="T79" s="18"/>
    </row>
    <row r="80" spans="1:20" s="20" customFormat="1" ht="11.25" x14ac:dyDescent="0.2">
      <c r="A80" s="99"/>
      <c r="B80" s="92"/>
      <c r="C80" s="7"/>
      <c r="D80" s="18"/>
      <c r="E80" s="18"/>
      <c r="F80" s="102"/>
      <c r="G80" s="102"/>
      <c r="H80" s="102"/>
      <c r="I80" s="102"/>
      <c r="J80" s="92"/>
      <c r="K80" s="93"/>
      <c r="L80" s="18"/>
      <c r="M80" s="18" t="e">
        <f>GAS_MW</f>
        <v>#REF!</v>
      </c>
      <c r="N80" s="18">
        <v>18.146446999999998</v>
      </c>
      <c r="O80" s="98" t="e">
        <f t="shared" si="1"/>
        <v>#REF!</v>
      </c>
      <c r="P80" s="18"/>
      <c r="Q80" s="18"/>
      <c r="R80" s="18"/>
      <c r="S80" s="18"/>
      <c r="T80" s="18"/>
    </row>
    <row r="81" spans="1:20" s="20" customFormat="1" ht="11.25" x14ac:dyDescent="0.2">
      <c r="A81" s="99"/>
      <c r="B81" s="92"/>
      <c r="C81" s="7"/>
      <c r="D81" s="18"/>
      <c r="E81" s="18"/>
      <c r="F81" s="102"/>
      <c r="G81" s="102"/>
      <c r="H81" s="102"/>
      <c r="I81" s="102"/>
      <c r="J81" s="92"/>
      <c r="K81" s="93"/>
      <c r="L81" s="18"/>
      <c r="M81" s="18" t="e">
        <f>GAS_K</f>
        <v>#NAME?</v>
      </c>
      <c r="N81" s="18">
        <v>1.2415030009857573</v>
      </c>
      <c r="O81" s="98" t="e">
        <f t="shared" si="1"/>
        <v>#NAME?</v>
      </c>
      <c r="P81" s="18"/>
      <c r="Q81" s="18"/>
      <c r="R81" s="18"/>
      <c r="S81" s="18"/>
      <c r="T81" s="18"/>
    </row>
    <row r="82" spans="1:20" s="20" customFormat="1" ht="11.25" x14ac:dyDescent="0.2">
      <c r="A82" s="99"/>
      <c r="B82" s="92"/>
      <c r="C82" s="7"/>
      <c r="D82" s="18"/>
      <c r="E82" s="18"/>
      <c r="F82" s="102"/>
      <c r="G82" s="102"/>
      <c r="H82" s="102"/>
      <c r="I82" s="102"/>
      <c r="J82" s="92"/>
      <c r="K82" s="93"/>
      <c r="L82" s="18"/>
      <c r="M82" s="18" t="e">
        <f>GAS_INSTALL_AREA</f>
        <v>#NAME?</v>
      </c>
      <c r="N82" s="18">
        <v>324.51547999999997</v>
      </c>
      <c r="O82" s="98" t="e">
        <f t="shared" si="1"/>
        <v>#NAME?</v>
      </c>
      <c r="P82" s="18"/>
      <c r="Q82" s="18"/>
      <c r="R82" s="18"/>
      <c r="S82" s="18"/>
      <c r="T82" s="18"/>
    </row>
    <row r="83" spans="1:20" s="20" customFormat="1" ht="11.25" x14ac:dyDescent="0.2">
      <c r="A83" s="99"/>
      <c r="B83" s="92"/>
      <c r="C83" s="7"/>
      <c r="D83" s="18"/>
      <c r="E83" s="18"/>
      <c r="F83" s="102"/>
      <c r="G83" s="102"/>
      <c r="H83" s="102"/>
      <c r="I83" s="102"/>
      <c r="J83" s="92"/>
      <c r="K83" s="93"/>
      <c r="L83" s="18"/>
      <c r="M83" s="18" t="e">
        <f>GAS_ORI_INSTALL</f>
        <v>#NAME?</v>
      </c>
      <c r="N83" s="18" t="s">
        <v>19</v>
      </c>
      <c r="O83" s="98" t="e">
        <f t="shared" si="1"/>
        <v>#NAME?</v>
      </c>
      <c r="P83" s="18"/>
      <c r="Q83" s="18"/>
      <c r="R83" s="18"/>
      <c r="S83" s="18"/>
      <c r="T83" s="18"/>
    </row>
    <row r="84" spans="1:20" s="20" customFormat="1" ht="11.25" x14ac:dyDescent="0.2">
      <c r="A84" s="99"/>
      <c r="B84" s="92"/>
      <c r="C84" s="7"/>
      <c r="D84" s="18"/>
      <c r="E84" s="18"/>
      <c r="F84" s="102"/>
      <c r="G84" s="102"/>
      <c r="H84" s="102"/>
      <c r="I84" s="102"/>
      <c r="J84" s="92"/>
      <c r="K84" s="93"/>
      <c r="L84" s="18"/>
      <c r="M84" s="18" t="e">
        <f>GAS_Z</f>
        <v>#NAME?</v>
      </c>
      <c r="N84" s="18">
        <v>0.98461520202104991</v>
      </c>
      <c r="O84" s="98" t="e">
        <f t="shared" si="1"/>
        <v>#NAME?</v>
      </c>
      <c r="P84" s="18"/>
      <c r="Q84" s="18"/>
      <c r="R84" s="18"/>
      <c r="S84" s="18"/>
      <c r="T84" s="18"/>
    </row>
    <row r="85" spans="1:20" s="20" customFormat="1" ht="11.25" x14ac:dyDescent="0.2">
      <c r="A85" s="99"/>
      <c r="B85" s="92"/>
      <c r="C85" s="7"/>
      <c r="D85" s="18"/>
      <c r="E85" s="18"/>
      <c r="F85" s="102"/>
      <c r="G85" s="102"/>
      <c r="H85" s="102"/>
      <c r="I85" s="102"/>
      <c r="J85" s="92"/>
      <c r="K85" s="93"/>
      <c r="L85" s="18"/>
      <c r="N85" s="18"/>
      <c r="O85" s="18"/>
      <c r="P85" s="18"/>
      <c r="Q85" s="18"/>
      <c r="R85" s="18"/>
      <c r="S85" s="18"/>
      <c r="T85" s="18"/>
    </row>
    <row r="86" spans="1:20" s="20" customFormat="1" ht="11.25" x14ac:dyDescent="0.2">
      <c r="A86" s="99"/>
      <c r="B86" s="92"/>
      <c r="C86" s="7"/>
      <c r="D86" s="18"/>
      <c r="E86" s="18"/>
      <c r="F86" s="102"/>
      <c r="G86" s="102"/>
      <c r="H86" s="102"/>
      <c r="I86" s="102"/>
      <c r="J86" s="92"/>
      <c r="K86" s="93"/>
      <c r="L86" s="18"/>
      <c r="M86" s="18" t="s">
        <v>20</v>
      </c>
      <c r="N86" s="18" t="s">
        <v>20</v>
      </c>
      <c r="O86" s="18">
        <f>COUNTIF(O87:O98,"Error!")</f>
        <v>0</v>
      </c>
      <c r="P86" s="18"/>
      <c r="Q86" s="18"/>
      <c r="R86" s="18"/>
      <c r="S86" s="18"/>
      <c r="T86" s="18"/>
    </row>
    <row r="87" spans="1:20" s="20" customFormat="1" ht="11.25" x14ac:dyDescent="0.2">
      <c r="A87" s="99"/>
      <c r="B87" s="92"/>
      <c r="C87" s="7"/>
      <c r="D87" s="18"/>
      <c r="E87" s="18"/>
      <c r="F87" s="102"/>
      <c r="G87" s="102"/>
      <c r="H87" s="102"/>
      <c r="I87" s="102"/>
      <c r="J87" s="92"/>
      <c r="K87" s="93"/>
      <c r="L87" s="18"/>
      <c r="M87" s="18" t="e">
        <f>GAS_KB</f>
        <v>#NAME?</v>
      </c>
      <c r="N87" s="18">
        <v>1</v>
      </c>
      <c r="O87" s="98" t="e">
        <f t="shared" ref="O87:O98" si="2">IF(M87=N87,"","Error!")</f>
        <v>#NAME?</v>
      </c>
      <c r="P87" s="18"/>
      <c r="Q87" s="18"/>
      <c r="R87" s="18"/>
      <c r="S87" s="18"/>
      <c r="T87" s="18"/>
    </row>
    <row r="88" spans="1:20" s="20" customFormat="1" ht="11.25" x14ac:dyDescent="0.2">
      <c r="A88" s="99"/>
      <c r="B88" s="92"/>
      <c r="C88" s="7"/>
      <c r="D88" s="18"/>
      <c r="E88" s="18"/>
      <c r="F88" s="102"/>
      <c r="G88" s="102"/>
      <c r="H88" s="102"/>
      <c r="I88" s="102"/>
      <c r="J88" s="92"/>
      <c r="K88" s="93"/>
      <c r="L88" s="18"/>
      <c r="M88" s="18" t="e">
        <f>GAS_KC</f>
        <v>#NAME?</v>
      </c>
      <c r="N88" s="18">
        <v>1</v>
      </c>
      <c r="O88" s="98" t="e">
        <f t="shared" si="2"/>
        <v>#NAME?</v>
      </c>
      <c r="P88" s="18"/>
      <c r="Q88" s="18"/>
      <c r="R88" s="18"/>
      <c r="S88" s="18"/>
      <c r="T88" s="18"/>
    </row>
    <row r="89" spans="1:20" s="20" customFormat="1" ht="11.25" x14ac:dyDescent="0.2">
      <c r="A89" s="99"/>
      <c r="B89" s="92"/>
      <c r="C89" s="7"/>
      <c r="D89" s="7"/>
      <c r="E89" s="18"/>
      <c r="F89" s="102"/>
      <c r="G89" s="102"/>
      <c r="H89" s="102"/>
      <c r="I89" s="102"/>
      <c r="J89" s="92"/>
      <c r="K89" s="93"/>
      <c r="L89" s="18"/>
      <c r="M89" s="18" t="e">
        <f>GAS_K_N</f>
        <v>#NAME?</v>
      </c>
      <c r="N89" s="18" t="s">
        <v>13</v>
      </c>
      <c r="O89" s="98" t="e">
        <f t="shared" si="2"/>
        <v>#NAME?</v>
      </c>
      <c r="P89" s="18"/>
      <c r="Q89" s="18"/>
      <c r="R89" s="18"/>
      <c r="S89" s="18"/>
      <c r="T89" s="18"/>
    </row>
    <row r="90" spans="1:20" s="20" customFormat="1" ht="11.25" x14ac:dyDescent="0.2">
      <c r="A90" s="99"/>
      <c r="B90" s="92"/>
      <c r="C90" s="7"/>
      <c r="D90" s="18"/>
      <c r="E90" s="18"/>
      <c r="F90" s="102"/>
      <c r="G90" s="102"/>
      <c r="H90" s="102"/>
      <c r="I90" s="102"/>
      <c r="J90" s="92"/>
      <c r="K90" s="93"/>
      <c r="L90" s="18"/>
      <c r="M90" s="18" t="e">
        <f>GAS_K_SH</f>
        <v>#NAME?</v>
      </c>
      <c r="N90" s="18" t="s">
        <v>13</v>
      </c>
      <c r="O90" s="98" t="e">
        <f t="shared" si="2"/>
        <v>#NAME?</v>
      </c>
      <c r="P90" s="18"/>
      <c r="Q90" s="18"/>
      <c r="R90" s="18"/>
      <c r="S90" s="18"/>
      <c r="T90" s="18"/>
    </row>
    <row r="91" spans="1:20" s="20" customFormat="1" ht="11.25" x14ac:dyDescent="0.2">
      <c r="A91" s="99"/>
      <c r="B91" s="92"/>
      <c r="C91" s="7"/>
      <c r="D91" s="18"/>
      <c r="E91" s="18"/>
      <c r="F91" s="103"/>
      <c r="G91" s="103"/>
      <c r="H91" s="103"/>
      <c r="I91" s="103"/>
      <c r="J91" s="92"/>
      <c r="K91" s="93"/>
      <c r="L91" s="18"/>
      <c r="M91" s="18" t="e">
        <f>GAS_FLOW_REGIME</f>
        <v>#NAME?</v>
      </c>
      <c r="N91" s="18" t="s">
        <v>14</v>
      </c>
      <c r="O91" s="98" t="e">
        <f t="shared" si="2"/>
        <v>#NAME?</v>
      </c>
      <c r="P91" s="18"/>
      <c r="Q91" s="18"/>
      <c r="R91" s="18"/>
      <c r="S91" s="18"/>
      <c r="T91" s="18"/>
    </row>
    <row r="92" spans="1:20" s="20" customFormat="1" ht="11.25" x14ac:dyDescent="0.2">
      <c r="A92" s="99"/>
      <c r="B92" s="92"/>
      <c r="C92" s="7"/>
      <c r="D92" s="18"/>
      <c r="E92" s="18"/>
      <c r="F92" s="103"/>
      <c r="G92" s="103"/>
      <c r="H92" s="103"/>
      <c r="I92" s="103"/>
      <c r="J92" s="92"/>
      <c r="K92" s="93"/>
      <c r="L92" s="18"/>
      <c r="M92" s="18" t="e">
        <f>GAS_AREA</f>
        <v>#NAME?</v>
      </c>
      <c r="N92" s="18">
        <v>7411.1018339629481</v>
      </c>
      <c r="O92" s="98" t="e">
        <f t="shared" si="2"/>
        <v>#NAME?</v>
      </c>
      <c r="P92" s="18"/>
      <c r="Q92" s="18"/>
      <c r="R92" s="18"/>
      <c r="S92" s="18"/>
      <c r="T92" s="18"/>
    </row>
    <row r="93" spans="1:20" s="20" customFormat="1" ht="11.25" x14ac:dyDescent="0.2">
      <c r="A93" s="99"/>
      <c r="B93" s="92"/>
      <c r="C93" s="7"/>
      <c r="D93" s="7"/>
      <c r="E93" s="18"/>
      <c r="F93" s="102"/>
      <c r="G93" s="102"/>
      <c r="H93" s="102"/>
      <c r="I93" s="102"/>
      <c r="J93" s="92"/>
      <c r="K93" s="93"/>
      <c r="L93" s="18"/>
      <c r="M93" s="18">
        <v>2.6315789473684202E-2</v>
      </c>
      <c r="N93" s="18">
        <v>2.6315789473684202E-2</v>
      </c>
      <c r="O93" s="98" t="str">
        <f t="shared" si="2"/>
        <v/>
      </c>
      <c r="P93" s="18"/>
      <c r="Q93" s="18"/>
      <c r="R93" s="18"/>
      <c r="S93" s="18"/>
      <c r="T93" s="18"/>
    </row>
    <row r="94" spans="1:20" s="20" customFormat="1" ht="11.25" x14ac:dyDescent="0.2">
      <c r="A94" s="99"/>
      <c r="B94" s="92"/>
      <c r="C94" s="7"/>
      <c r="D94" s="7"/>
      <c r="E94" s="18"/>
      <c r="F94" s="102"/>
      <c r="G94" s="102"/>
      <c r="H94" s="102"/>
      <c r="I94" s="102"/>
      <c r="J94" s="92"/>
      <c r="K94" s="93"/>
      <c r="L94" s="18"/>
      <c r="M94" s="18" t="e">
        <f>GAS_ORI_A</f>
        <v>#NAME?</v>
      </c>
      <c r="N94" s="18">
        <v>10322.56</v>
      </c>
      <c r="O94" s="98" t="e">
        <f t="shared" si="2"/>
        <v>#NAME?</v>
      </c>
      <c r="P94" s="18"/>
      <c r="Q94" s="18"/>
      <c r="R94" s="18"/>
      <c r="S94" s="18"/>
      <c r="T94" s="18"/>
    </row>
    <row r="95" spans="1:20" s="20" customFormat="1" ht="11.25" x14ac:dyDescent="0.2">
      <c r="A95" s="99"/>
      <c r="B95" s="92"/>
      <c r="C95" s="7"/>
      <c r="D95" s="18"/>
      <c r="E95" s="18"/>
      <c r="F95" s="103"/>
      <c r="G95" s="103"/>
      <c r="H95" s="103"/>
      <c r="I95" s="103"/>
      <c r="J95" s="92"/>
      <c r="K95" s="93"/>
      <c r="L95" s="18"/>
      <c r="M95" s="18" t="e">
        <f>GAS_RATED</f>
        <v>#NAME?</v>
      </c>
      <c r="N95" s="18">
        <v>69642.545948395127</v>
      </c>
      <c r="O95" s="98" t="e">
        <f t="shared" si="2"/>
        <v>#NAME?</v>
      </c>
      <c r="P95" s="18"/>
      <c r="Q95" s="18"/>
      <c r="R95" s="18"/>
      <c r="S95" s="18"/>
      <c r="T95" s="18"/>
    </row>
    <row r="96" spans="1:20" s="20" customFormat="1" ht="11.25" x14ac:dyDescent="0.2">
      <c r="A96" s="99"/>
      <c r="B96" s="92"/>
      <c r="C96" s="7"/>
      <c r="D96" s="18"/>
      <c r="E96" s="18"/>
      <c r="F96" s="103"/>
      <c r="G96" s="103"/>
      <c r="H96" s="103"/>
      <c r="I96" s="103"/>
      <c r="J96" s="92"/>
      <c r="K96" s="93"/>
      <c r="L96" s="18"/>
      <c r="M96" s="18" t="e">
        <f>GAS_INSTALL_RATED</f>
        <v>#NAME?</v>
      </c>
      <c r="N96" s="18">
        <v>2189.3875382526712</v>
      </c>
      <c r="O96" s="98" t="e">
        <f t="shared" si="2"/>
        <v>#NAME?</v>
      </c>
      <c r="P96" s="18"/>
      <c r="Q96" s="18"/>
      <c r="R96" s="18"/>
      <c r="S96" s="18"/>
      <c r="T96" s="18"/>
    </row>
    <row r="97" spans="1:20" s="20" customFormat="1" ht="11.25" x14ac:dyDescent="0.2">
      <c r="A97" s="99"/>
      <c r="B97" s="92"/>
      <c r="C97" s="7"/>
      <c r="D97" s="18"/>
      <c r="E97" s="18"/>
      <c r="F97" s="103"/>
      <c r="G97" s="103"/>
      <c r="H97" s="103"/>
      <c r="I97" s="103"/>
      <c r="J97" s="92"/>
      <c r="K97" s="93"/>
      <c r="L97" s="18"/>
      <c r="M97" s="18" t="e">
        <f>GAS_T_VENT</f>
        <v>#NAME?</v>
      </c>
      <c r="N97" s="18">
        <v>96.374646282073684</v>
      </c>
      <c r="O97" s="98" t="e">
        <f t="shared" si="2"/>
        <v>#NAME?</v>
      </c>
      <c r="P97" s="18"/>
      <c r="Q97" s="18"/>
      <c r="R97" s="18"/>
      <c r="S97" s="18"/>
      <c r="T97" s="18"/>
    </row>
    <row r="98" spans="1:20" s="20" customFormat="1" ht="11.25" x14ac:dyDescent="0.2">
      <c r="A98" s="99"/>
      <c r="B98" s="18"/>
      <c r="C98" s="7"/>
      <c r="D98" s="18"/>
      <c r="E98" s="18"/>
      <c r="F98" s="103"/>
      <c r="G98" s="103"/>
      <c r="H98" s="103"/>
      <c r="I98" s="103"/>
      <c r="J98" s="18"/>
      <c r="K98" s="93"/>
      <c r="L98" s="18"/>
      <c r="M98" s="18" t="e">
        <f>GAS_F_TYPE</f>
        <v>#NAME?</v>
      </c>
      <c r="N98" s="18" t="s">
        <v>15</v>
      </c>
      <c r="O98" s="98" t="e">
        <f t="shared" si="2"/>
        <v>#NAME?</v>
      </c>
      <c r="P98" s="18"/>
      <c r="Q98" s="18"/>
      <c r="R98" s="18"/>
      <c r="S98" s="18"/>
      <c r="T98" s="18"/>
    </row>
    <row r="99" spans="1:20" s="20" customFormat="1" ht="11.25" x14ac:dyDescent="0.2">
      <c r="A99" s="99"/>
      <c r="B99" s="18"/>
      <c r="C99" s="7"/>
      <c r="D99" s="18"/>
      <c r="E99" s="18"/>
      <c r="F99" s="103"/>
      <c r="G99" s="103"/>
      <c r="H99" s="103"/>
      <c r="I99" s="103"/>
      <c r="J99" s="18"/>
      <c r="K99" s="93"/>
      <c r="L99" s="18"/>
      <c r="M99" s="18"/>
      <c r="N99" s="18"/>
      <c r="O99" s="18"/>
      <c r="P99" s="18"/>
      <c r="Q99" s="18"/>
      <c r="R99" s="18"/>
      <c r="S99" s="18"/>
      <c r="T99" s="18"/>
    </row>
    <row r="100" spans="1:20" s="20" customFormat="1" ht="11.25" x14ac:dyDescent="0.2">
      <c r="A100" s="99"/>
      <c r="B100" s="18"/>
      <c r="C100" s="7"/>
      <c r="D100" s="18"/>
      <c r="E100" s="18"/>
      <c r="F100" s="103"/>
      <c r="G100" s="103"/>
      <c r="H100" s="102"/>
      <c r="I100" s="102"/>
      <c r="J100" s="18"/>
      <c r="K100" s="93"/>
      <c r="L100" s="18"/>
      <c r="M100" s="18"/>
      <c r="N100" s="18"/>
      <c r="O100" s="18"/>
      <c r="P100" s="18"/>
      <c r="Q100" s="18"/>
      <c r="R100" s="18"/>
      <c r="S100" s="18"/>
      <c r="T100" s="18"/>
    </row>
    <row r="101" spans="1:20" s="20" customFormat="1" ht="11.25" x14ac:dyDescent="0.2">
      <c r="A101" s="99"/>
      <c r="B101" s="18"/>
      <c r="C101" s="7"/>
      <c r="D101" s="18"/>
      <c r="E101" s="18"/>
      <c r="F101" s="77"/>
      <c r="G101" s="77"/>
      <c r="H101" s="77"/>
      <c r="I101" s="77"/>
      <c r="J101" s="18"/>
      <c r="K101" s="93"/>
      <c r="L101" s="18"/>
      <c r="M101" s="18"/>
      <c r="N101" s="18"/>
      <c r="O101" s="18"/>
      <c r="P101" s="18"/>
      <c r="Q101" s="18"/>
      <c r="R101" s="18"/>
      <c r="S101" s="18"/>
      <c r="T101" s="18"/>
    </row>
    <row r="102" spans="1:20" s="20" customFormat="1" ht="11.25" x14ac:dyDescent="0.2">
      <c r="A102" s="99"/>
      <c r="B102" s="18"/>
      <c r="C102" s="18"/>
      <c r="D102" s="18"/>
      <c r="E102" s="18"/>
      <c r="F102" s="18"/>
      <c r="G102" s="18"/>
      <c r="H102" s="18"/>
      <c r="I102" s="18"/>
      <c r="J102" s="18"/>
      <c r="K102" s="93"/>
      <c r="L102" s="18"/>
      <c r="M102" s="18"/>
      <c r="N102" s="18"/>
      <c r="O102" s="18"/>
      <c r="P102" s="18"/>
      <c r="Q102" s="18"/>
      <c r="R102" s="18"/>
      <c r="S102" s="18"/>
      <c r="T102" s="18"/>
    </row>
    <row r="103" spans="1:20" s="20" customFormat="1" ht="11.25" x14ac:dyDescent="0.2">
      <c r="A103" s="99"/>
      <c r="B103" s="18"/>
      <c r="C103" s="92"/>
      <c r="D103" s="18"/>
      <c r="E103" s="104"/>
      <c r="F103" s="105"/>
      <c r="G103" s="105"/>
      <c r="H103" s="105"/>
      <c r="I103" s="105"/>
      <c r="J103" s="18"/>
      <c r="K103" s="93"/>
      <c r="L103" s="18"/>
      <c r="M103" s="18"/>
      <c r="N103" s="18"/>
      <c r="O103" s="18"/>
      <c r="P103" s="18"/>
      <c r="Q103" s="18"/>
      <c r="R103" s="18"/>
      <c r="S103" s="18"/>
      <c r="T103" s="18"/>
    </row>
    <row r="104" spans="1:20" s="20" customFormat="1" ht="11.25" x14ac:dyDescent="0.2">
      <c r="A104" s="99"/>
      <c r="B104" s="18"/>
      <c r="C104" s="92"/>
      <c r="D104" s="18"/>
      <c r="E104" s="29"/>
      <c r="F104" s="106"/>
      <c r="G104" s="105"/>
      <c r="H104" s="105"/>
      <c r="I104" s="105"/>
      <c r="J104" s="18"/>
      <c r="K104" s="93"/>
      <c r="L104" s="18"/>
      <c r="M104" s="18"/>
      <c r="N104" s="18"/>
      <c r="O104" s="18"/>
      <c r="P104" s="18"/>
      <c r="Q104" s="18"/>
      <c r="R104" s="18"/>
      <c r="S104" s="18"/>
      <c r="T104" s="18"/>
    </row>
    <row r="105" spans="1:20" s="20" customFormat="1" ht="11.25" x14ac:dyDescent="0.2">
      <c r="A105" s="99"/>
      <c r="B105" s="18"/>
      <c r="C105" s="92"/>
      <c r="D105" s="18"/>
      <c r="E105" s="29"/>
      <c r="F105" s="107"/>
      <c r="G105" s="107"/>
      <c r="H105" s="107"/>
      <c r="I105" s="107"/>
      <c r="J105" s="18"/>
      <c r="K105" s="93"/>
      <c r="L105" s="18"/>
      <c r="M105" s="18"/>
      <c r="N105" s="18"/>
      <c r="O105" s="18"/>
      <c r="P105" s="18"/>
      <c r="Q105" s="18"/>
      <c r="R105" s="18"/>
      <c r="S105" s="18"/>
      <c r="T105" s="18"/>
    </row>
    <row r="106" spans="1:20" s="20" customFormat="1" ht="11.25" x14ac:dyDescent="0.2">
      <c r="A106" s="99"/>
      <c r="B106" s="18"/>
      <c r="C106" s="92"/>
      <c r="D106" s="18"/>
      <c r="E106" s="29"/>
      <c r="F106" s="108"/>
      <c r="G106" s="109"/>
      <c r="H106" s="109"/>
      <c r="I106" s="108"/>
      <c r="J106" s="18"/>
      <c r="K106" s="93"/>
      <c r="L106" s="18"/>
      <c r="M106" s="18"/>
      <c r="N106" s="18"/>
      <c r="O106" s="18"/>
      <c r="P106" s="18"/>
      <c r="Q106" s="18"/>
      <c r="R106" s="18"/>
      <c r="S106" s="18"/>
      <c r="T106" s="18"/>
    </row>
    <row r="107" spans="1:20" s="20" customFormat="1" ht="11.25" x14ac:dyDescent="0.2">
      <c r="A107" s="99"/>
      <c r="B107" s="18"/>
      <c r="C107" s="92"/>
      <c r="D107" s="18"/>
      <c r="E107" s="29"/>
      <c r="F107" s="108"/>
      <c r="G107" s="108"/>
      <c r="H107" s="108"/>
      <c r="I107" s="108"/>
      <c r="J107" s="18"/>
      <c r="K107" s="93"/>
      <c r="L107" s="18"/>
      <c r="M107" s="18"/>
      <c r="N107" s="18"/>
      <c r="O107" s="18"/>
      <c r="P107" s="18"/>
      <c r="Q107" s="18"/>
      <c r="R107" s="18"/>
      <c r="S107" s="18"/>
      <c r="T107" s="18"/>
    </row>
    <row r="108" spans="1:20" s="20" customFormat="1" ht="11.25" x14ac:dyDescent="0.2">
      <c r="A108" s="99"/>
      <c r="B108" s="18"/>
      <c r="C108" s="92"/>
      <c r="D108" s="18"/>
      <c r="E108" s="29"/>
      <c r="F108" s="108"/>
      <c r="G108" s="110"/>
      <c r="H108" s="110"/>
      <c r="I108" s="110"/>
      <c r="J108" s="18"/>
      <c r="K108" s="93"/>
      <c r="L108" s="18"/>
      <c r="M108" s="18"/>
      <c r="N108" s="18"/>
      <c r="O108" s="18"/>
      <c r="P108" s="18"/>
      <c r="Q108" s="18"/>
      <c r="R108" s="18"/>
      <c r="S108" s="18"/>
      <c r="T108" s="18"/>
    </row>
    <row r="109" spans="1:20" s="20" customFormat="1" ht="11.25" x14ac:dyDescent="0.2">
      <c r="A109" s="99"/>
      <c r="B109" s="18"/>
      <c r="C109" s="92"/>
      <c r="D109" s="18"/>
      <c r="E109" s="29"/>
      <c r="F109" s="108"/>
      <c r="G109" s="108"/>
      <c r="H109" s="108"/>
      <c r="I109" s="108"/>
      <c r="J109" s="18"/>
      <c r="K109" s="93"/>
      <c r="L109" s="18"/>
      <c r="M109" s="18"/>
      <c r="N109" s="18"/>
      <c r="O109" s="18"/>
      <c r="P109" s="18"/>
      <c r="Q109" s="18"/>
      <c r="R109" s="18"/>
      <c r="S109" s="18"/>
      <c r="T109" s="18"/>
    </row>
    <row r="110" spans="1:20" s="20" customFormat="1" ht="11.25" x14ac:dyDescent="0.2">
      <c r="A110" s="99"/>
      <c r="B110" s="18"/>
      <c r="C110" s="18"/>
      <c r="D110" s="18"/>
      <c r="E110" s="29"/>
      <c r="F110" s="106"/>
      <c r="G110" s="106"/>
      <c r="H110" s="106"/>
      <c r="I110" s="106"/>
      <c r="J110" s="18"/>
      <c r="K110" s="93"/>
      <c r="L110" s="18"/>
      <c r="M110" s="18"/>
      <c r="N110" s="18"/>
      <c r="O110" s="18"/>
      <c r="P110" s="18"/>
      <c r="Q110" s="18"/>
      <c r="R110" s="18"/>
      <c r="S110" s="18"/>
      <c r="T110" s="18"/>
    </row>
    <row r="111" spans="1:20" s="20" customFormat="1" ht="11.25" x14ac:dyDescent="0.2">
      <c r="A111" s="99"/>
      <c r="B111" s="18"/>
      <c r="C111" s="18"/>
      <c r="D111" s="18"/>
      <c r="E111" s="29"/>
      <c r="F111" s="106"/>
      <c r="G111" s="106"/>
      <c r="H111" s="106"/>
      <c r="I111" s="106"/>
      <c r="J111" s="18"/>
      <c r="K111" s="93"/>
      <c r="L111" s="18"/>
      <c r="M111" s="18"/>
      <c r="N111" s="18"/>
      <c r="O111" s="18"/>
      <c r="P111" s="18"/>
      <c r="Q111" s="18"/>
      <c r="R111" s="18"/>
      <c r="S111" s="18"/>
      <c r="T111" s="18"/>
    </row>
    <row r="112" spans="1:20" s="20" customFormat="1" ht="11.25" x14ac:dyDescent="0.2">
      <c r="A112" s="99"/>
      <c r="B112" s="92"/>
      <c r="C112" s="18"/>
      <c r="D112" s="18"/>
      <c r="E112" s="29"/>
      <c r="F112" s="106"/>
      <c r="G112" s="106"/>
      <c r="H112" s="106"/>
      <c r="I112" s="106"/>
      <c r="J112" s="92"/>
      <c r="K112" s="93"/>
      <c r="L112" s="18"/>
      <c r="M112" s="18"/>
      <c r="N112" s="18"/>
      <c r="O112" s="18"/>
      <c r="P112" s="18"/>
      <c r="Q112" s="18"/>
      <c r="R112" s="18"/>
      <c r="S112" s="18"/>
      <c r="T112" s="18"/>
    </row>
    <row r="113" spans="1:20" s="20" customFormat="1" ht="11.25" x14ac:dyDescent="0.2">
      <c r="A113" s="99"/>
      <c r="B113" s="92"/>
      <c r="C113" s="18"/>
      <c r="D113" s="18"/>
      <c r="E113" s="29"/>
      <c r="F113" s="108"/>
      <c r="G113" s="108"/>
      <c r="H113" s="108"/>
      <c r="I113" s="108"/>
      <c r="J113" s="92"/>
      <c r="K113" s="93"/>
      <c r="L113" s="18"/>
      <c r="M113" s="18"/>
      <c r="N113" s="18"/>
      <c r="O113" s="18"/>
      <c r="P113" s="18"/>
      <c r="Q113" s="18"/>
      <c r="R113" s="18"/>
      <c r="S113" s="18"/>
      <c r="T113" s="18"/>
    </row>
    <row r="114" spans="1:20" s="20" customFormat="1" ht="11.25" x14ac:dyDescent="0.2">
      <c r="A114" s="99"/>
      <c r="B114" s="92"/>
      <c r="C114" s="18"/>
      <c r="D114" s="18"/>
      <c r="E114" s="29"/>
      <c r="F114" s="108"/>
      <c r="G114" s="108"/>
      <c r="H114" s="108"/>
      <c r="I114" s="108"/>
      <c r="J114" s="92"/>
      <c r="K114" s="93"/>
      <c r="L114" s="18"/>
      <c r="M114" s="18"/>
      <c r="N114" s="18"/>
      <c r="O114" s="18"/>
      <c r="P114" s="18"/>
      <c r="Q114" s="18"/>
      <c r="R114" s="18"/>
      <c r="S114" s="18"/>
      <c r="T114" s="18"/>
    </row>
    <row r="115" spans="1:20" s="20" customFormat="1" ht="11.25" x14ac:dyDescent="0.2">
      <c r="A115" s="99"/>
      <c r="B115" s="92"/>
      <c r="C115" s="92"/>
      <c r="D115" s="92"/>
      <c r="E115" s="92"/>
      <c r="F115" s="92"/>
      <c r="G115" s="92"/>
      <c r="H115" s="92"/>
      <c r="I115" s="92"/>
      <c r="J115" s="92"/>
      <c r="K115" s="93"/>
      <c r="L115" s="18"/>
      <c r="M115" s="18"/>
      <c r="N115" s="18"/>
      <c r="O115" s="18"/>
      <c r="P115" s="18"/>
      <c r="Q115" s="18"/>
      <c r="R115" s="18"/>
      <c r="S115" s="18"/>
      <c r="T115" s="18"/>
    </row>
    <row r="116" spans="1:20" s="20" customFormat="1" ht="11.25" x14ac:dyDescent="0.2">
      <c r="A116" s="99"/>
      <c r="B116" s="92"/>
      <c r="C116" s="92"/>
      <c r="D116" s="92"/>
      <c r="E116" s="92"/>
      <c r="F116" s="92"/>
      <c r="G116" s="92"/>
      <c r="H116" s="92"/>
      <c r="I116" s="92"/>
      <c r="J116" s="92"/>
      <c r="K116" s="93"/>
      <c r="L116" s="18"/>
      <c r="M116" s="18"/>
      <c r="N116" s="18"/>
      <c r="O116" s="18"/>
      <c r="P116" s="18"/>
      <c r="Q116" s="18"/>
      <c r="R116" s="18"/>
      <c r="S116" s="18"/>
      <c r="T116" s="18"/>
    </row>
    <row r="117" spans="1:20" s="20" customFormat="1" ht="11.25" x14ac:dyDescent="0.2">
      <c r="A117" s="99"/>
      <c r="B117" s="92"/>
      <c r="C117" s="92"/>
      <c r="D117" s="92"/>
      <c r="E117" s="92"/>
      <c r="F117" s="92"/>
      <c r="G117" s="92"/>
      <c r="H117" s="92"/>
      <c r="I117" s="92"/>
      <c r="J117" s="92"/>
      <c r="K117" s="93"/>
      <c r="L117" s="18"/>
      <c r="M117" s="18"/>
      <c r="N117" s="18"/>
      <c r="O117" s="18"/>
      <c r="P117" s="18"/>
      <c r="Q117" s="18"/>
      <c r="R117" s="18"/>
      <c r="S117" s="18"/>
      <c r="T117" s="18"/>
    </row>
    <row r="118" spans="1:20" s="20" customFormat="1" ht="11.25" x14ac:dyDescent="0.2">
      <c r="A118" s="112"/>
      <c r="B118" s="113"/>
      <c r="C118" s="113"/>
      <c r="D118" s="113"/>
      <c r="E118" s="113"/>
      <c r="F118" s="113"/>
      <c r="G118" s="114"/>
      <c r="H118" s="113"/>
      <c r="I118" s="113"/>
      <c r="J118" s="113"/>
      <c r="K118" s="115"/>
      <c r="L118" s="18"/>
      <c r="M118" s="18"/>
      <c r="N118" s="18"/>
      <c r="O118" s="18"/>
      <c r="P118" s="18"/>
      <c r="Q118" s="18"/>
      <c r="R118" s="18"/>
      <c r="S118" s="18"/>
      <c r="T118" s="18"/>
    </row>
    <row r="119" spans="1:20" s="20" customFormat="1" ht="11.25" x14ac:dyDescent="0.2">
      <c r="A119" s="89"/>
      <c r="B119" s="116"/>
      <c r="C119" s="116"/>
      <c r="D119" s="116"/>
      <c r="E119" s="116"/>
      <c r="F119" s="116"/>
      <c r="G119" s="117"/>
      <c r="H119" s="116"/>
      <c r="I119" s="116"/>
      <c r="J119" s="116"/>
      <c r="K119" s="116"/>
      <c r="L119" s="18"/>
      <c r="M119" s="18"/>
      <c r="N119" s="18"/>
      <c r="O119" s="18"/>
      <c r="P119" s="18"/>
      <c r="Q119" s="18"/>
      <c r="R119" s="18"/>
      <c r="S119" s="18"/>
      <c r="T119" s="18"/>
    </row>
    <row r="120" spans="1:20" s="90" customFormat="1" ht="12" x14ac:dyDescent="0.2">
      <c r="A120" s="177"/>
      <c r="B120" s="178"/>
      <c r="C120" s="178"/>
      <c r="D120" s="178"/>
      <c r="E120" s="178"/>
      <c r="F120" s="178"/>
      <c r="G120" s="179"/>
      <c r="H120" s="178"/>
      <c r="I120" s="178"/>
      <c r="J120" s="178"/>
      <c r="K120" s="180"/>
      <c r="L120" s="94"/>
      <c r="M120" s="94"/>
      <c r="N120" s="94"/>
      <c r="O120" s="94"/>
      <c r="P120" s="94"/>
      <c r="Q120" s="94"/>
      <c r="R120" s="94"/>
      <c r="S120" s="94"/>
      <c r="T120" s="94"/>
    </row>
    <row r="121" spans="1:20" s="34" customFormat="1" ht="12.75" customHeight="1" x14ac:dyDescent="0.2">
      <c r="A121" s="181"/>
      <c r="B121" s="182"/>
      <c r="C121" s="182"/>
      <c r="D121" s="182"/>
      <c r="E121" s="182"/>
      <c r="F121" s="182"/>
      <c r="G121" s="183"/>
      <c r="H121" s="182"/>
      <c r="I121" s="182"/>
      <c r="J121" s="182"/>
      <c r="K121" s="184"/>
      <c r="L121" s="31"/>
      <c r="M121" s="31"/>
      <c r="N121" s="31"/>
      <c r="O121" s="31"/>
      <c r="P121" s="31"/>
      <c r="Q121" s="31"/>
      <c r="R121" s="31"/>
      <c r="S121" s="31"/>
      <c r="T121" s="31"/>
    </row>
    <row r="122" spans="1:20" s="34" customFormat="1" ht="12.75" customHeight="1" x14ac:dyDescent="0.2">
      <c r="A122" s="181"/>
      <c r="B122" s="182"/>
      <c r="C122" s="182"/>
      <c r="D122" s="182"/>
      <c r="E122" s="182"/>
      <c r="F122" s="182"/>
      <c r="G122" s="183"/>
      <c r="H122" s="182"/>
      <c r="I122" s="182"/>
      <c r="J122" s="182"/>
      <c r="K122" s="184"/>
      <c r="L122" s="31"/>
      <c r="M122" s="31"/>
      <c r="N122" s="31"/>
      <c r="O122" s="31"/>
      <c r="P122" s="31"/>
      <c r="Q122" s="31"/>
      <c r="R122" s="31"/>
      <c r="S122" s="31"/>
      <c r="T122" s="31"/>
    </row>
    <row r="123" spans="1:20" s="34" customFormat="1" ht="12.75" customHeight="1" x14ac:dyDescent="0.2">
      <c r="A123" s="181"/>
      <c r="B123" s="182"/>
      <c r="C123" s="182"/>
      <c r="D123" s="182"/>
      <c r="E123" s="182"/>
      <c r="F123" s="182"/>
      <c r="G123" s="183"/>
      <c r="H123" s="182"/>
      <c r="I123" s="182"/>
      <c r="J123" s="182"/>
      <c r="K123" s="184"/>
      <c r="L123" s="31"/>
      <c r="M123" s="31"/>
      <c r="N123" s="31"/>
      <c r="O123" s="31"/>
      <c r="P123" s="31"/>
      <c r="Q123" s="31"/>
      <c r="R123" s="31"/>
      <c r="S123" s="31"/>
      <c r="T123" s="31"/>
    </row>
    <row r="124" spans="1:20" s="34" customFormat="1" ht="12.75" customHeight="1" x14ac:dyDescent="0.2">
      <c r="A124" s="181"/>
      <c r="B124" s="182"/>
      <c r="C124" s="182"/>
      <c r="D124" s="182"/>
      <c r="E124" s="182"/>
      <c r="F124" s="182"/>
      <c r="G124" s="183"/>
      <c r="H124" s="182"/>
      <c r="I124" s="182"/>
      <c r="J124" s="182"/>
      <c r="K124" s="184"/>
      <c r="L124" s="31"/>
      <c r="M124" s="31"/>
      <c r="N124" s="31"/>
      <c r="O124" s="31"/>
      <c r="P124" s="31"/>
      <c r="Q124" s="31"/>
      <c r="R124" s="31"/>
      <c r="S124" s="31"/>
      <c r="T124" s="31"/>
    </row>
    <row r="125" spans="1:20" s="34" customFormat="1" ht="12.75" customHeight="1" x14ac:dyDescent="0.2">
      <c r="A125" s="181"/>
      <c r="B125" s="182"/>
      <c r="C125" s="182"/>
      <c r="D125" s="182"/>
      <c r="E125" s="182"/>
      <c r="F125" s="182"/>
      <c r="G125" s="183"/>
      <c r="H125" s="182"/>
      <c r="I125" s="182"/>
      <c r="J125" s="182"/>
      <c r="K125" s="184"/>
      <c r="L125" s="31"/>
      <c r="M125" s="31"/>
      <c r="N125" s="31"/>
      <c r="O125" s="31"/>
      <c r="P125" s="31"/>
      <c r="Q125" s="31"/>
      <c r="R125" s="31"/>
      <c r="S125" s="31"/>
      <c r="T125" s="31"/>
    </row>
    <row r="126" spans="1:20" s="34" customFormat="1" ht="12.75" customHeight="1" x14ac:dyDescent="0.2">
      <c r="A126" s="181"/>
      <c r="B126" s="182"/>
      <c r="C126" s="182"/>
      <c r="D126" s="182"/>
      <c r="E126" s="182"/>
      <c r="F126" s="182"/>
      <c r="G126" s="183"/>
      <c r="H126" s="182"/>
      <c r="I126" s="182"/>
      <c r="J126" s="182"/>
      <c r="K126" s="184"/>
      <c r="L126" s="31"/>
      <c r="M126" s="31"/>
      <c r="N126" s="31"/>
      <c r="O126" s="31"/>
      <c r="P126" s="31"/>
      <c r="Q126" s="31"/>
      <c r="R126" s="31"/>
      <c r="S126" s="31"/>
      <c r="T126" s="31"/>
    </row>
    <row r="127" spans="1:20" s="34" customFormat="1" ht="12.75" customHeight="1" x14ac:dyDescent="0.2">
      <c r="A127" s="181"/>
      <c r="B127" s="182"/>
      <c r="C127" s="182"/>
      <c r="D127" s="182"/>
      <c r="E127" s="182"/>
      <c r="F127" s="182"/>
      <c r="G127" s="183"/>
      <c r="H127" s="182"/>
      <c r="I127" s="182"/>
      <c r="J127" s="182"/>
      <c r="K127" s="184"/>
      <c r="L127" s="31"/>
      <c r="M127" s="31"/>
      <c r="N127" s="31"/>
      <c r="O127" s="31"/>
      <c r="P127" s="31"/>
      <c r="Q127" s="31"/>
      <c r="R127" s="31"/>
      <c r="S127" s="31"/>
      <c r="T127" s="31"/>
    </row>
    <row r="128" spans="1:20" s="34" customFormat="1" ht="12.75" customHeight="1" x14ac:dyDescent="0.2">
      <c r="A128" s="181"/>
      <c r="B128" s="182"/>
      <c r="C128" s="182"/>
      <c r="D128" s="182"/>
      <c r="E128" s="182"/>
      <c r="F128" s="182"/>
      <c r="G128" s="183"/>
      <c r="H128" s="182"/>
      <c r="I128" s="182"/>
      <c r="J128" s="182"/>
      <c r="K128" s="184"/>
      <c r="L128" s="31"/>
      <c r="M128" s="31"/>
      <c r="N128" s="31"/>
      <c r="O128" s="31"/>
      <c r="P128" s="31"/>
      <c r="Q128" s="31"/>
      <c r="R128" s="31"/>
      <c r="S128" s="31"/>
      <c r="T128" s="31"/>
    </row>
    <row r="129" spans="1:20" s="34" customFormat="1" ht="12.75" customHeight="1" x14ac:dyDescent="0.2">
      <c r="A129" s="181"/>
      <c r="B129" s="182"/>
      <c r="C129" s="182"/>
      <c r="D129" s="182"/>
      <c r="E129" s="182"/>
      <c r="F129" s="182"/>
      <c r="G129" s="183"/>
      <c r="H129" s="182"/>
      <c r="I129" s="182"/>
      <c r="J129" s="182"/>
      <c r="K129" s="184"/>
      <c r="L129" s="31"/>
      <c r="M129" s="31"/>
      <c r="N129" s="31"/>
      <c r="O129" s="31"/>
      <c r="P129" s="31"/>
      <c r="Q129" s="31"/>
      <c r="R129" s="31"/>
      <c r="S129" s="31"/>
      <c r="T129" s="31"/>
    </row>
    <row r="130" spans="1:20" s="34" customFormat="1" ht="12.75" customHeight="1" x14ac:dyDescent="0.2">
      <c r="A130" s="181"/>
      <c r="B130" s="182"/>
      <c r="C130" s="182"/>
      <c r="D130" s="182"/>
      <c r="E130" s="182"/>
      <c r="F130" s="182"/>
      <c r="G130" s="183"/>
      <c r="H130" s="182"/>
      <c r="I130" s="182"/>
      <c r="J130" s="182"/>
      <c r="K130" s="184"/>
      <c r="L130" s="31"/>
      <c r="M130" s="31"/>
      <c r="N130" s="31"/>
      <c r="O130" s="31"/>
      <c r="P130" s="31"/>
      <c r="Q130" s="31"/>
      <c r="R130" s="31"/>
      <c r="S130" s="31"/>
      <c r="T130" s="31"/>
    </row>
    <row r="131" spans="1:20" s="34" customFormat="1" ht="12.75" customHeight="1" x14ac:dyDescent="0.2">
      <c r="A131" s="181"/>
      <c r="B131" s="182"/>
      <c r="C131" s="182"/>
      <c r="D131" s="182"/>
      <c r="E131" s="182"/>
      <c r="F131" s="182"/>
      <c r="G131" s="183"/>
      <c r="H131" s="182"/>
      <c r="I131" s="182"/>
      <c r="J131" s="182"/>
      <c r="K131" s="184"/>
      <c r="L131" s="31"/>
      <c r="M131" s="31"/>
      <c r="N131" s="31"/>
      <c r="O131" s="31"/>
      <c r="P131" s="31"/>
      <c r="Q131" s="31"/>
      <c r="R131" s="31"/>
      <c r="S131" s="31"/>
      <c r="T131" s="31"/>
    </row>
    <row r="132" spans="1:20" s="34" customFormat="1" ht="12.75" customHeight="1" x14ac:dyDescent="0.2">
      <c r="A132" s="181"/>
      <c r="B132" s="182"/>
      <c r="C132" s="182"/>
      <c r="D132" s="182"/>
      <c r="E132" s="182"/>
      <c r="F132" s="182"/>
      <c r="G132" s="183"/>
      <c r="H132" s="182"/>
      <c r="I132" s="182"/>
      <c r="J132" s="182"/>
      <c r="K132" s="184"/>
      <c r="L132" s="31"/>
      <c r="M132" s="31"/>
      <c r="N132" s="31"/>
      <c r="O132" s="31"/>
      <c r="P132" s="31"/>
      <c r="Q132" s="31"/>
      <c r="R132" s="31"/>
      <c r="S132" s="31"/>
      <c r="T132" s="31"/>
    </row>
    <row r="133" spans="1:20" s="34" customFormat="1" ht="12.75" customHeight="1" x14ac:dyDescent="0.2">
      <c r="A133" s="181"/>
      <c r="B133" s="182"/>
      <c r="C133" s="182"/>
      <c r="D133" s="182"/>
      <c r="E133" s="182"/>
      <c r="F133" s="182"/>
      <c r="G133" s="183"/>
      <c r="H133" s="182"/>
      <c r="I133" s="182"/>
      <c r="J133" s="182"/>
      <c r="K133" s="184"/>
      <c r="L133" s="31"/>
      <c r="M133" s="31"/>
      <c r="N133" s="31"/>
      <c r="O133" s="31"/>
      <c r="P133" s="31"/>
      <c r="Q133" s="31"/>
      <c r="R133" s="31"/>
      <c r="S133" s="31"/>
      <c r="T133" s="31"/>
    </row>
    <row r="134" spans="1:20" s="34" customFormat="1" ht="12.75" customHeight="1" x14ac:dyDescent="0.2">
      <c r="A134" s="181"/>
      <c r="B134" s="182"/>
      <c r="C134" s="182"/>
      <c r="D134" s="182"/>
      <c r="E134" s="182"/>
      <c r="F134" s="182"/>
      <c r="G134" s="183"/>
      <c r="H134" s="182"/>
      <c r="I134" s="182"/>
      <c r="J134" s="182"/>
      <c r="K134" s="184"/>
      <c r="L134" s="31"/>
      <c r="M134" s="31"/>
      <c r="N134" s="31"/>
      <c r="O134" s="31"/>
      <c r="P134" s="31"/>
      <c r="Q134" s="31"/>
      <c r="R134" s="31"/>
      <c r="S134" s="31"/>
      <c r="T134" s="31"/>
    </row>
    <row r="135" spans="1:20" s="34" customFormat="1" ht="12.75" customHeight="1" x14ac:dyDescent="0.2">
      <c r="A135" s="181"/>
      <c r="B135" s="182"/>
      <c r="C135" s="182"/>
      <c r="D135" s="182"/>
      <c r="E135" s="182"/>
      <c r="F135" s="182"/>
      <c r="G135" s="183"/>
      <c r="H135" s="182"/>
      <c r="I135" s="182"/>
      <c r="J135" s="182"/>
      <c r="K135" s="184"/>
      <c r="L135" s="31"/>
      <c r="M135" s="31"/>
      <c r="N135" s="31"/>
      <c r="O135" s="31"/>
      <c r="P135" s="31"/>
      <c r="Q135" s="31"/>
      <c r="R135" s="31"/>
      <c r="S135" s="31"/>
      <c r="T135" s="31"/>
    </row>
    <row r="136" spans="1:20" s="34" customFormat="1" ht="12.75" customHeight="1" x14ac:dyDescent="0.2">
      <c r="A136" s="181"/>
      <c r="B136" s="182"/>
      <c r="C136" s="182"/>
      <c r="D136" s="182"/>
      <c r="E136" s="182"/>
      <c r="F136" s="182"/>
      <c r="G136" s="183"/>
      <c r="H136" s="182"/>
      <c r="I136" s="182"/>
      <c r="J136" s="182"/>
      <c r="K136" s="184"/>
      <c r="L136" s="31"/>
      <c r="M136" s="31"/>
      <c r="N136" s="31"/>
      <c r="O136" s="31"/>
      <c r="P136" s="31"/>
      <c r="Q136" s="31"/>
      <c r="R136" s="31"/>
      <c r="S136" s="31"/>
      <c r="T136" s="31"/>
    </row>
    <row r="137" spans="1:20" s="34" customFormat="1" ht="12.75" customHeight="1" x14ac:dyDescent="0.2">
      <c r="A137" s="181"/>
      <c r="B137" s="182"/>
      <c r="C137" s="182"/>
      <c r="D137" s="182"/>
      <c r="E137" s="182"/>
      <c r="F137" s="182"/>
      <c r="G137" s="183"/>
      <c r="H137" s="182"/>
      <c r="I137" s="182"/>
      <c r="J137" s="182"/>
      <c r="K137" s="184"/>
      <c r="L137" s="31"/>
      <c r="M137" s="31"/>
      <c r="N137" s="31"/>
      <c r="O137" s="31"/>
      <c r="P137" s="31"/>
      <c r="Q137" s="31"/>
      <c r="R137" s="31"/>
      <c r="S137" s="31"/>
      <c r="T137" s="31"/>
    </row>
    <row r="138" spans="1:20" s="34" customFormat="1" ht="12.75" customHeight="1" x14ac:dyDescent="0.2">
      <c r="A138" s="181"/>
      <c r="B138" s="182"/>
      <c r="C138" s="182"/>
      <c r="D138" s="182"/>
      <c r="E138" s="182"/>
      <c r="F138" s="182"/>
      <c r="G138" s="183"/>
      <c r="H138" s="182"/>
      <c r="I138" s="182"/>
      <c r="J138" s="182"/>
      <c r="K138" s="184"/>
      <c r="L138" s="31"/>
      <c r="M138" s="31"/>
      <c r="N138" s="31"/>
      <c r="O138" s="31"/>
      <c r="P138" s="31"/>
      <c r="Q138" s="31"/>
      <c r="R138" s="31"/>
      <c r="S138" s="31"/>
      <c r="T138" s="31"/>
    </row>
    <row r="139" spans="1:20" s="34" customFormat="1" ht="12.75" customHeight="1" x14ac:dyDescent="0.2">
      <c r="A139" s="181"/>
      <c r="B139" s="182"/>
      <c r="C139" s="182"/>
      <c r="D139" s="182"/>
      <c r="E139" s="182"/>
      <c r="F139" s="182"/>
      <c r="G139" s="183"/>
      <c r="H139" s="182"/>
      <c r="I139" s="182"/>
      <c r="J139" s="182"/>
      <c r="K139" s="184"/>
      <c r="L139" s="31"/>
      <c r="M139" s="31"/>
      <c r="N139" s="31"/>
      <c r="O139" s="31"/>
      <c r="P139" s="31"/>
      <c r="Q139" s="31"/>
      <c r="R139" s="31"/>
      <c r="S139" s="31"/>
      <c r="T139" s="31"/>
    </row>
    <row r="140" spans="1:20" s="34" customFormat="1" ht="12.75" customHeight="1" x14ac:dyDescent="0.2">
      <c r="A140" s="181"/>
      <c r="B140" s="182"/>
      <c r="C140" s="182"/>
      <c r="D140" s="182"/>
      <c r="E140" s="182"/>
      <c r="F140" s="182"/>
      <c r="G140" s="183"/>
      <c r="H140" s="182"/>
      <c r="I140" s="182"/>
      <c r="J140" s="182"/>
      <c r="K140" s="184"/>
      <c r="L140" s="31"/>
      <c r="M140" s="31"/>
      <c r="N140" s="31"/>
      <c r="O140" s="31"/>
      <c r="P140" s="31"/>
      <c r="Q140" s="31"/>
      <c r="R140" s="31"/>
      <c r="S140" s="31"/>
      <c r="T140" s="31"/>
    </row>
    <row r="141" spans="1:20" s="34" customFormat="1" ht="12.75" customHeight="1" x14ac:dyDescent="0.2">
      <c r="A141" s="181"/>
      <c r="B141" s="182"/>
      <c r="C141" s="182"/>
      <c r="D141" s="182"/>
      <c r="E141" s="182"/>
      <c r="F141" s="182"/>
      <c r="G141" s="183"/>
      <c r="H141" s="182"/>
      <c r="I141" s="182"/>
      <c r="J141" s="182"/>
      <c r="K141" s="184"/>
      <c r="L141" s="31"/>
      <c r="M141" s="31"/>
      <c r="N141" s="31"/>
      <c r="O141" s="31"/>
      <c r="P141" s="31"/>
      <c r="Q141" s="31"/>
      <c r="R141" s="31"/>
      <c r="S141" s="31"/>
      <c r="T141" s="31"/>
    </row>
    <row r="142" spans="1:20" s="34" customFormat="1" ht="12.75" customHeight="1" x14ac:dyDescent="0.2">
      <c r="A142" s="181"/>
      <c r="B142" s="182"/>
      <c r="C142" s="182"/>
      <c r="D142" s="182"/>
      <c r="E142" s="182"/>
      <c r="F142" s="182"/>
      <c r="G142" s="183"/>
      <c r="H142" s="182"/>
      <c r="I142" s="182"/>
      <c r="J142" s="182"/>
      <c r="K142" s="184"/>
      <c r="L142" s="31"/>
      <c r="M142" s="31"/>
      <c r="N142" s="31"/>
      <c r="O142" s="31"/>
      <c r="P142" s="31"/>
      <c r="Q142" s="31"/>
      <c r="R142" s="31"/>
      <c r="S142" s="31"/>
      <c r="T142" s="31"/>
    </row>
    <row r="143" spans="1:20" s="34" customFormat="1" ht="12.75" customHeight="1" x14ac:dyDescent="0.2">
      <c r="A143" s="181"/>
      <c r="B143" s="182"/>
      <c r="C143" s="182"/>
      <c r="D143" s="182"/>
      <c r="E143" s="182"/>
      <c r="F143" s="182"/>
      <c r="G143" s="183"/>
      <c r="H143" s="182"/>
      <c r="I143" s="182"/>
      <c r="J143" s="182"/>
      <c r="K143" s="184"/>
      <c r="L143" s="31"/>
      <c r="M143" s="31"/>
      <c r="N143" s="31"/>
      <c r="O143" s="31"/>
      <c r="P143" s="31"/>
      <c r="Q143" s="31"/>
      <c r="R143" s="31"/>
      <c r="S143" s="31"/>
      <c r="T143" s="31"/>
    </row>
    <row r="144" spans="1:20" s="34" customFormat="1" ht="12.75" customHeight="1" x14ac:dyDescent="0.2">
      <c r="A144" s="181"/>
      <c r="B144" s="182"/>
      <c r="C144" s="182"/>
      <c r="D144" s="182"/>
      <c r="E144" s="182"/>
      <c r="F144" s="182"/>
      <c r="G144" s="183"/>
      <c r="H144" s="182"/>
      <c r="I144" s="182"/>
      <c r="J144" s="182"/>
      <c r="K144" s="184"/>
      <c r="L144" s="31"/>
      <c r="M144" s="31"/>
      <c r="N144" s="31"/>
      <c r="O144" s="31"/>
      <c r="P144" s="31"/>
      <c r="Q144" s="31"/>
      <c r="R144" s="31"/>
      <c r="S144" s="31"/>
      <c r="T144" s="31"/>
    </row>
    <row r="145" spans="1:20" s="34" customFormat="1" ht="12.75" customHeight="1" x14ac:dyDescent="0.2">
      <c r="A145" s="185"/>
      <c r="B145" s="186"/>
      <c r="C145" s="186"/>
      <c r="D145" s="186"/>
      <c r="E145" s="186"/>
      <c r="F145" s="186"/>
      <c r="G145" s="187"/>
      <c r="H145" s="186"/>
      <c r="I145" s="186"/>
      <c r="J145" s="186"/>
      <c r="K145" s="23"/>
      <c r="L145" s="31"/>
      <c r="M145" s="31"/>
      <c r="N145" s="31"/>
      <c r="O145" s="31"/>
      <c r="P145" s="31"/>
      <c r="Q145" s="31"/>
      <c r="R145" s="31"/>
      <c r="S145" s="31"/>
      <c r="T145" s="31"/>
    </row>
    <row r="146" spans="1:20" x14ac:dyDescent="0.2">
      <c r="A146" s="185"/>
      <c r="B146" s="186"/>
      <c r="C146" s="186"/>
      <c r="D146" s="186"/>
      <c r="E146" s="186"/>
      <c r="F146" s="186"/>
      <c r="G146" s="187"/>
      <c r="H146" s="186"/>
      <c r="I146" s="186"/>
      <c r="J146" s="186"/>
      <c r="K146" s="23"/>
      <c r="L146" s="8"/>
      <c r="M146" s="8"/>
      <c r="N146" s="8"/>
      <c r="O146" s="8"/>
      <c r="P146" s="8"/>
      <c r="Q146" s="8"/>
      <c r="R146" s="8"/>
      <c r="S146" s="8"/>
      <c r="T146" s="8"/>
    </row>
    <row r="147" spans="1:20" x14ac:dyDescent="0.2">
      <c r="A147" s="185"/>
      <c r="B147" s="186"/>
      <c r="C147" s="186"/>
      <c r="D147" s="186"/>
      <c r="E147" s="186"/>
      <c r="F147" s="186"/>
      <c r="G147" s="187"/>
      <c r="H147" s="186"/>
      <c r="I147" s="186"/>
      <c r="J147" s="186"/>
      <c r="K147" s="23"/>
      <c r="L147" s="8"/>
      <c r="M147" s="8"/>
      <c r="N147" s="8"/>
      <c r="O147" s="8"/>
      <c r="P147" s="8"/>
      <c r="Q147" s="8"/>
      <c r="R147" s="8"/>
      <c r="S147" s="8"/>
      <c r="T147" s="8"/>
    </row>
    <row r="148" spans="1:20" x14ac:dyDescent="0.2">
      <c r="A148" s="185"/>
      <c r="B148" s="186"/>
      <c r="C148" s="186"/>
      <c r="D148" s="186"/>
      <c r="E148" s="186"/>
      <c r="F148" s="186"/>
      <c r="G148" s="187"/>
      <c r="H148" s="186"/>
      <c r="I148" s="186"/>
      <c r="J148" s="186"/>
      <c r="K148" s="23"/>
      <c r="L148" s="8"/>
      <c r="M148" s="8"/>
      <c r="N148" s="8"/>
      <c r="O148" s="8"/>
      <c r="P148" s="8"/>
      <c r="Q148" s="8"/>
      <c r="R148" s="8"/>
      <c r="S148" s="8"/>
      <c r="T148" s="8"/>
    </row>
    <row r="149" spans="1:20" x14ac:dyDescent="0.2">
      <c r="A149" s="185"/>
      <c r="B149" s="186"/>
      <c r="C149" s="186"/>
      <c r="D149" s="186"/>
      <c r="E149" s="186"/>
      <c r="F149" s="186"/>
      <c r="G149" s="187"/>
      <c r="H149" s="186"/>
      <c r="I149" s="186"/>
      <c r="J149" s="186"/>
      <c r="K149" s="23"/>
      <c r="L149" s="8"/>
      <c r="M149" s="8"/>
      <c r="N149" s="8"/>
      <c r="O149" s="8"/>
      <c r="P149" s="8"/>
      <c r="Q149" s="8"/>
      <c r="R149" s="8"/>
      <c r="S149" s="8"/>
      <c r="T149" s="8"/>
    </row>
    <row r="150" spans="1:20" x14ac:dyDescent="0.2">
      <c r="A150" s="185"/>
      <c r="B150" s="186"/>
      <c r="C150" s="186"/>
      <c r="D150" s="186"/>
      <c r="E150" s="186"/>
      <c r="F150" s="186"/>
      <c r="G150" s="187"/>
      <c r="H150" s="186"/>
      <c r="I150" s="186"/>
      <c r="J150" s="186"/>
      <c r="K150" s="23"/>
    </row>
    <row r="151" spans="1:20" x14ac:dyDescent="0.2">
      <c r="A151" s="185"/>
      <c r="B151" s="186"/>
      <c r="C151" s="186"/>
      <c r="D151" s="186"/>
      <c r="E151" s="186"/>
      <c r="F151" s="186"/>
      <c r="G151" s="187"/>
      <c r="H151" s="186"/>
      <c r="I151" s="186"/>
      <c r="J151" s="186"/>
      <c r="K151" s="23"/>
    </row>
    <row r="152" spans="1:20" x14ac:dyDescent="0.2">
      <c r="A152" s="185"/>
      <c r="B152" s="186"/>
      <c r="C152" s="186"/>
      <c r="D152" s="186"/>
      <c r="E152" s="186"/>
      <c r="F152" s="186"/>
      <c r="G152" s="187"/>
      <c r="H152" s="186"/>
      <c r="I152" s="186"/>
      <c r="J152" s="186"/>
      <c r="K152" s="23"/>
    </row>
    <row r="153" spans="1:20" x14ac:dyDescent="0.2">
      <c r="A153" s="185"/>
      <c r="B153" s="186"/>
      <c r="C153" s="186"/>
      <c r="D153" s="186"/>
      <c r="E153" s="186"/>
      <c r="F153" s="186"/>
      <c r="G153" s="187"/>
      <c r="H153" s="186"/>
      <c r="I153" s="186"/>
      <c r="J153" s="186"/>
      <c r="K153" s="23"/>
    </row>
    <row r="154" spans="1:20" x14ac:dyDescent="0.2">
      <c r="A154" s="185"/>
      <c r="B154" s="186"/>
      <c r="C154" s="186"/>
      <c r="D154" s="186"/>
      <c r="E154" s="186"/>
      <c r="F154" s="186"/>
      <c r="G154" s="187"/>
      <c r="H154" s="186"/>
      <c r="I154" s="186"/>
      <c r="J154" s="186"/>
      <c r="K154" s="23"/>
    </row>
    <row r="155" spans="1:20" x14ac:dyDescent="0.2">
      <c r="A155" s="185"/>
      <c r="B155" s="186"/>
      <c r="C155" s="186"/>
      <c r="D155" s="186"/>
      <c r="E155" s="186"/>
      <c r="F155" s="186"/>
      <c r="G155" s="187"/>
      <c r="H155" s="186"/>
      <c r="I155" s="186"/>
      <c r="J155" s="186"/>
      <c r="K155" s="23"/>
    </row>
    <row r="156" spans="1:20" x14ac:dyDescent="0.2">
      <c r="A156" s="185"/>
      <c r="B156" s="186"/>
      <c r="C156" s="186"/>
      <c r="D156" s="186"/>
      <c r="E156" s="186"/>
      <c r="F156" s="186"/>
      <c r="G156" s="187"/>
      <c r="H156" s="186"/>
      <c r="I156" s="186"/>
      <c r="J156" s="186"/>
      <c r="K156" s="23"/>
    </row>
    <row r="157" spans="1:20" x14ac:dyDescent="0.2">
      <c r="A157" s="185"/>
      <c r="B157" s="186"/>
      <c r="C157" s="186"/>
      <c r="D157" s="186"/>
      <c r="E157" s="186"/>
      <c r="F157" s="186"/>
      <c r="G157" s="187"/>
      <c r="H157" s="186"/>
      <c r="I157" s="186"/>
      <c r="J157" s="186"/>
      <c r="K157" s="23"/>
    </row>
    <row r="158" spans="1:20" x14ac:dyDescent="0.2">
      <c r="A158" s="185"/>
      <c r="B158" s="186"/>
      <c r="C158" s="186"/>
      <c r="D158" s="186"/>
      <c r="E158" s="186"/>
      <c r="F158" s="186"/>
      <c r="G158" s="187"/>
      <c r="H158" s="186"/>
      <c r="I158" s="186"/>
      <c r="J158" s="186"/>
      <c r="K158" s="23"/>
    </row>
    <row r="159" spans="1:20" x14ac:dyDescent="0.2">
      <c r="A159" s="185"/>
      <c r="B159" s="186"/>
      <c r="C159" s="186"/>
      <c r="D159" s="186"/>
      <c r="E159" s="186"/>
      <c r="F159" s="186"/>
      <c r="G159" s="187"/>
      <c r="H159" s="186"/>
      <c r="I159" s="186"/>
      <c r="J159" s="186"/>
      <c r="K159" s="23"/>
    </row>
    <row r="160" spans="1:20" x14ac:dyDescent="0.2">
      <c r="A160" s="185"/>
      <c r="B160" s="186"/>
      <c r="C160" s="186"/>
      <c r="D160" s="186"/>
      <c r="E160" s="186"/>
      <c r="F160" s="186"/>
      <c r="G160" s="187"/>
      <c r="H160" s="186"/>
      <c r="I160" s="186"/>
      <c r="J160" s="186"/>
      <c r="K160" s="23"/>
    </row>
    <row r="161" spans="1:11" x14ac:dyDescent="0.2">
      <c r="A161" s="185"/>
      <c r="B161" s="186"/>
      <c r="C161" s="186"/>
      <c r="D161" s="186"/>
      <c r="E161" s="186"/>
      <c r="F161" s="186"/>
      <c r="G161" s="187"/>
      <c r="H161" s="186"/>
      <c r="I161" s="186"/>
      <c r="J161" s="186"/>
      <c r="K161" s="23"/>
    </row>
    <row r="162" spans="1:11" x14ac:dyDescent="0.2">
      <c r="A162" s="185"/>
      <c r="B162" s="186"/>
      <c r="C162" s="186"/>
      <c r="D162" s="186"/>
      <c r="E162" s="186"/>
      <c r="F162" s="186"/>
      <c r="G162" s="187"/>
      <c r="H162" s="186"/>
      <c r="I162" s="186"/>
      <c r="J162" s="186"/>
      <c r="K162" s="23"/>
    </row>
    <row r="163" spans="1:11" x14ac:dyDescent="0.2">
      <c r="A163" s="185"/>
      <c r="B163" s="186"/>
      <c r="C163" s="186"/>
      <c r="D163" s="186"/>
      <c r="E163" s="186"/>
      <c r="F163" s="186"/>
      <c r="G163" s="187"/>
      <c r="H163" s="186"/>
      <c r="I163" s="186"/>
      <c r="J163" s="186"/>
      <c r="K163" s="23"/>
    </row>
    <row r="164" spans="1:11" x14ac:dyDescent="0.2">
      <c r="A164" s="185"/>
      <c r="B164" s="186"/>
      <c r="C164" s="186"/>
      <c r="D164" s="186"/>
      <c r="E164" s="186"/>
      <c r="F164" s="186"/>
      <c r="G164" s="187"/>
      <c r="H164" s="186"/>
      <c r="I164" s="186"/>
      <c r="J164" s="186"/>
      <c r="K164" s="23"/>
    </row>
    <row r="165" spans="1:11" x14ac:dyDescent="0.2">
      <c r="A165" s="185"/>
      <c r="B165" s="186"/>
      <c r="C165" s="186"/>
      <c r="D165" s="186"/>
      <c r="E165" s="186"/>
      <c r="F165" s="186"/>
      <c r="G165" s="187"/>
      <c r="H165" s="186"/>
      <c r="I165" s="186"/>
      <c r="J165" s="186"/>
      <c r="K165" s="23"/>
    </row>
    <row r="166" spans="1:11" x14ac:dyDescent="0.2">
      <c r="A166" s="185"/>
      <c r="B166" s="186"/>
      <c r="C166" s="186"/>
      <c r="D166" s="186"/>
      <c r="E166" s="186"/>
      <c r="F166" s="186"/>
      <c r="G166" s="187"/>
      <c r="H166" s="186"/>
      <c r="I166" s="186"/>
      <c r="J166" s="186"/>
      <c r="K166" s="23"/>
    </row>
    <row r="167" spans="1:11" x14ac:dyDescent="0.2">
      <c r="A167" s="185"/>
      <c r="B167" s="186"/>
      <c r="C167" s="186"/>
      <c r="D167" s="186"/>
      <c r="E167" s="186"/>
      <c r="F167" s="186"/>
      <c r="G167" s="187"/>
      <c r="H167" s="186"/>
      <c r="I167" s="186"/>
      <c r="J167" s="186"/>
      <c r="K167" s="23"/>
    </row>
    <row r="168" spans="1:11" x14ac:dyDescent="0.2">
      <c r="A168" s="188"/>
      <c r="B168" s="189"/>
      <c r="C168" s="189"/>
      <c r="D168" s="189"/>
      <c r="E168" s="189"/>
      <c r="F168" s="189"/>
      <c r="G168" s="190"/>
      <c r="H168" s="189"/>
      <c r="I168" s="189"/>
      <c r="J168" s="189"/>
      <c r="K168" s="191"/>
    </row>
    <row r="169" spans="1:11" x14ac:dyDescent="0.2">
      <c r="A169" s="192"/>
      <c r="B169" s="193"/>
      <c r="C169" s="193"/>
      <c r="D169" s="193"/>
      <c r="E169" s="193"/>
      <c r="F169" s="193"/>
      <c r="G169" s="194"/>
      <c r="H169" s="193"/>
      <c r="I169" s="193"/>
      <c r="J169" s="193"/>
      <c r="K169" s="195"/>
    </row>
    <row r="170" spans="1:11" x14ac:dyDescent="0.2">
      <c r="A170" s="185"/>
      <c r="B170" s="186"/>
      <c r="C170" s="186"/>
      <c r="D170" s="186"/>
      <c r="E170" s="186"/>
      <c r="F170" s="186"/>
      <c r="G170" s="187"/>
      <c r="H170" s="186"/>
      <c r="I170" s="186"/>
      <c r="J170" s="186"/>
      <c r="K170" s="23"/>
    </row>
    <row r="171" spans="1:11" x14ac:dyDescent="0.2">
      <c r="A171" s="185"/>
      <c r="B171" s="186"/>
      <c r="C171" s="186"/>
      <c r="D171" s="186"/>
      <c r="E171" s="186"/>
      <c r="F171" s="186"/>
      <c r="G171" s="187"/>
      <c r="H171" s="186"/>
      <c r="I171" s="186"/>
      <c r="J171" s="186"/>
      <c r="K171" s="23"/>
    </row>
    <row r="172" spans="1:11" x14ac:dyDescent="0.2">
      <c r="A172" s="185"/>
      <c r="B172" s="186"/>
      <c r="C172" s="186"/>
      <c r="D172" s="186"/>
      <c r="E172" s="186"/>
      <c r="F172" s="186"/>
      <c r="G172" s="187"/>
      <c r="H172" s="186"/>
      <c r="I172" s="186"/>
      <c r="J172" s="186"/>
      <c r="K172" s="23"/>
    </row>
    <row r="173" spans="1:11" x14ac:dyDescent="0.2">
      <c r="A173" s="185"/>
      <c r="B173" s="186"/>
      <c r="C173" s="186"/>
      <c r="D173" s="186"/>
      <c r="E173" s="186"/>
      <c r="F173" s="186"/>
      <c r="G173" s="187"/>
      <c r="H173" s="186"/>
      <c r="I173" s="186"/>
      <c r="J173" s="186"/>
      <c r="K173" s="23"/>
    </row>
    <row r="174" spans="1:11" x14ac:dyDescent="0.2">
      <c r="A174" s="185"/>
      <c r="B174" s="186"/>
      <c r="C174" s="186"/>
      <c r="D174" s="186"/>
      <c r="E174" s="186"/>
      <c r="F174" s="186"/>
      <c r="G174" s="187"/>
      <c r="H174" s="186"/>
      <c r="I174" s="186"/>
      <c r="J174" s="186"/>
      <c r="K174" s="23"/>
    </row>
    <row r="175" spans="1:11" x14ac:dyDescent="0.2">
      <c r="A175" s="185"/>
      <c r="B175" s="186"/>
      <c r="C175" s="186"/>
      <c r="D175" s="186"/>
      <c r="E175" s="186"/>
      <c r="F175" s="186"/>
      <c r="G175" s="187"/>
      <c r="H175" s="186"/>
      <c r="I175" s="186"/>
      <c r="J175" s="186"/>
      <c r="K175" s="23"/>
    </row>
    <row r="176" spans="1:11" x14ac:dyDescent="0.2">
      <c r="A176" s="185"/>
      <c r="B176" s="186"/>
      <c r="C176" s="186"/>
      <c r="D176" s="186"/>
      <c r="E176" s="186"/>
      <c r="F176" s="186"/>
      <c r="G176" s="187"/>
      <c r="H176" s="186"/>
      <c r="I176" s="186"/>
      <c r="J176" s="186"/>
      <c r="K176" s="23"/>
    </row>
    <row r="177" spans="1:11" x14ac:dyDescent="0.2">
      <c r="A177" s="185"/>
      <c r="B177" s="186"/>
      <c r="C177" s="186"/>
      <c r="D177" s="186"/>
      <c r="E177" s="186"/>
      <c r="F177" s="186"/>
      <c r="G177" s="187"/>
      <c r="H177" s="186"/>
      <c r="I177" s="186"/>
      <c r="J177" s="186"/>
      <c r="K177" s="23"/>
    </row>
    <row r="178" spans="1:11" x14ac:dyDescent="0.2">
      <c r="A178" s="185"/>
      <c r="B178" s="186"/>
      <c r="C178" s="186"/>
      <c r="D178" s="186"/>
      <c r="E178" s="186"/>
      <c r="F178" s="186"/>
      <c r="G178" s="187"/>
      <c r="H178" s="186"/>
      <c r="I178" s="186"/>
      <c r="J178" s="186"/>
      <c r="K178" s="23"/>
    </row>
    <row r="179" spans="1:11" x14ac:dyDescent="0.2">
      <c r="A179" s="185"/>
      <c r="B179" s="186"/>
      <c r="C179" s="186"/>
      <c r="D179" s="186"/>
      <c r="E179" s="186"/>
      <c r="F179" s="186"/>
      <c r="G179" s="187"/>
      <c r="H179" s="186"/>
      <c r="I179" s="186"/>
      <c r="J179" s="186"/>
      <c r="K179" s="23"/>
    </row>
    <row r="180" spans="1:11" x14ac:dyDescent="0.2">
      <c r="A180" s="185"/>
      <c r="B180" s="186"/>
      <c r="C180" s="186"/>
      <c r="D180" s="186"/>
      <c r="E180" s="186"/>
      <c r="F180" s="186"/>
      <c r="G180" s="187"/>
      <c r="H180" s="186"/>
      <c r="I180" s="186"/>
      <c r="J180" s="186"/>
      <c r="K180" s="23"/>
    </row>
    <row r="181" spans="1:11" x14ac:dyDescent="0.2">
      <c r="A181" s="185"/>
      <c r="B181" s="186"/>
      <c r="C181" s="186"/>
      <c r="D181" s="186"/>
      <c r="E181" s="186"/>
      <c r="F181" s="186"/>
      <c r="G181" s="187"/>
      <c r="H181" s="186"/>
      <c r="I181" s="186"/>
      <c r="J181" s="186"/>
      <c r="K181" s="23"/>
    </row>
    <row r="182" spans="1:11" x14ac:dyDescent="0.2">
      <c r="A182" s="185"/>
      <c r="B182" s="186"/>
      <c r="C182" s="186"/>
      <c r="D182" s="186"/>
      <c r="E182" s="186"/>
      <c r="F182" s="186"/>
      <c r="G182" s="187"/>
      <c r="H182" s="186"/>
      <c r="I182" s="186"/>
      <c r="J182" s="186"/>
      <c r="K182" s="23"/>
    </row>
    <row r="183" spans="1:11" x14ac:dyDescent="0.2">
      <c r="A183" s="185"/>
      <c r="B183" s="186"/>
      <c r="C183" s="186"/>
      <c r="D183" s="186"/>
      <c r="E183" s="186"/>
      <c r="F183" s="186"/>
      <c r="G183" s="187"/>
      <c r="H183" s="186"/>
      <c r="I183" s="186"/>
      <c r="J183" s="186"/>
      <c r="K183" s="23"/>
    </row>
    <row r="184" spans="1:11" x14ac:dyDescent="0.2">
      <c r="A184" s="185"/>
      <c r="B184" s="186"/>
      <c r="C184" s="186"/>
      <c r="D184" s="186"/>
      <c r="E184" s="186"/>
      <c r="F184" s="186"/>
      <c r="G184" s="187"/>
      <c r="H184" s="186"/>
      <c r="I184" s="186"/>
      <c r="J184" s="186"/>
      <c r="K184" s="23"/>
    </row>
    <row r="185" spans="1:11" x14ac:dyDescent="0.2">
      <c r="A185" s="185"/>
      <c r="B185" s="186"/>
      <c r="C185" s="186"/>
      <c r="D185" s="186"/>
      <c r="E185" s="186"/>
      <c r="F185" s="186"/>
      <c r="G185" s="187"/>
      <c r="H185" s="186"/>
      <c r="I185" s="186"/>
      <c r="J185" s="186"/>
      <c r="K185" s="23"/>
    </row>
    <row r="186" spans="1:11" x14ac:dyDescent="0.2">
      <c r="A186" s="185"/>
      <c r="B186" s="186"/>
      <c r="C186" s="186"/>
      <c r="D186" s="186"/>
      <c r="E186" s="186"/>
      <c r="F186" s="186"/>
      <c r="G186" s="187"/>
      <c r="H186" s="186"/>
      <c r="I186" s="186"/>
      <c r="J186" s="186"/>
      <c r="K186" s="23"/>
    </row>
    <row r="187" spans="1:11" x14ac:dyDescent="0.2">
      <c r="A187" s="185"/>
      <c r="B187" s="186"/>
      <c r="C187" s="186"/>
      <c r="D187" s="186"/>
      <c r="E187" s="186"/>
      <c r="F187" s="186"/>
      <c r="G187" s="187"/>
      <c r="H187" s="186"/>
      <c r="I187" s="186"/>
      <c r="J187" s="186"/>
      <c r="K187" s="23"/>
    </row>
    <row r="188" spans="1:11" x14ac:dyDescent="0.2">
      <c r="A188" s="185"/>
      <c r="B188" s="186"/>
      <c r="C188" s="186"/>
      <c r="D188" s="186"/>
      <c r="E188" s="186"/>
      <c r="F188" s="186"/>
      <c r="G188" s="187"/>
      <c r="H188" s="186"/>
      <c r="I188" s="186"/>
      <c r="J188" s="186"/>
      <c r="K188" s="23"/>
    </row>
    <row r="189" spans="1:11" x14ac:dyDescent="0.2">
      <c r="A189" s="185"/>
      <c r="B189" s="186"/>
      <c r="C189" s="186"/>
      <c r="D189" s="186"/>
      <c r="E189" s="186"/>
      <c r="F189" s="186"/>
      <c r="G189" s="187"/>
      <c r="H189" s="186"/>
      <c r="I189" s="186"/>
      <c r="J189" s="186"/>
      <c r="K189" s="23"/>
    </row>
    <row r="190" spans="1:11" x14ac:dyDescent="0.2">
      <c r="A190" s="185"/>
      <c r="B190" s="186"/>
      <c r="C190" s="186"/>
      <c r="D190" s="186"/>
      <c r="E190" s="186"/>
      <c r="F190" s="186"/>
      <c r="G190" s="187"/>
      <c r="H190" s="186"/>
      <c r="I190" s="186"/>
      <c r="J190" s="186"/>
      <c r="K190" s="23"/>
    </row>
    <row r="191" spans="1:11" x14ac:dyDescent="0.2">
      <c r="A191" s="185"/>
      <c r="B191" s="186"/>
      <c r="C191" s="186"/>
      <c r="D191" s="186"/>
      <c r="E191" s="186"/>
      <c r="F191" s="186"/>
      <c r="G191" s="187"/>
      <c r="H191" s="186"/>
      <c r="I191" s="186"/>
      <c r="J191" s="186"/>
      <c r="K191" s="23"/>
    </row>
    <row r="192" spans="1:11" x14ac:dyDescent="0.2">
      <c r="A192" s="185"/>
      <c r="B192" s="186"/>
      <c r="C192" s="186"/>
      <c r="D192" s="186"/>
      <c r="E192" s="186"/>
      <c r="F192" s="186"/>
      <c r="G192" s="187"/>
      <c r="H192" s="186"/>
      <c r="I192" s="186"/>
      <c r="J192" s="186"/>
      <c r="K192" s="23"/>
    </row>
    <row r="193" spans="1:11" x14ac:dyDescent="0.2">
      <c r="A193" s="185"/>
      <c r="B193" s="186"/>
      <c r="C193" s="186"/>
      <c r="D193" s="186"/>
      <c r="E193" s="186"/>
      <c r="F193" s="186"/>
      <c r="G193" s="187"/>
      <c r="H193" s="186"/>
      <c r="I193" s="186"/>
      <c r="J193" s="186"/>
      <c r="K193" s="23"/>
    </row>
    <row r="194" spans="1:11" x14ac:dyDescent="0.2">
      <c r="A194" s="185"/>
      <c r="B194" s="186"/>
      <c r="C194" s="186"/>
      <c r="D194" s="186"/>
      <c r="E194" s="186"/>
      <c r="F194" s="186"/>
      <c r="G194" s="187"/>
      <c r="H194" s="186"/>
      <c r="I194" s="186"/>
      <c r="J194" s="186"/>
      <c r="K194" s="23"/>
    </row>
    <row r="195" spans="1:11" x14ac:dyDescent="0.2">
      <c r="A195" s="185"/>
      <c r="B195" s="186"/>
      <c r="C195" s="186"/>
      <c r="D195" s="186"/>
      <c r="E195" s="186"/>
      <c r="F195" s="186"/>
      <c r="G195" s="187"/>
      <c r="H195" s="186"/>
      <c r="I195" s="186"/>
      <c r="J195" s="186"/>
      <c r="K195" s="23"/>
    </row>
    <row r="196" spans="1:11" x14ac:dyDescent="0.2">
      <c r="A196" s="185"/>
      <c r="B196" s="186"/>
      <c r="C196" s="186"/>
      <c r="D196" s="186"/>
      <c r="E196" s="186"/>
      <c r="F196" s="186"/>
      <c r="G196" s="187"/>
      <c r="H196" s="186"/>
      <c r="I196" s="186"/>
      <c r="J196" s="186"/>
      <c r="K196" s="23"/>
    </row>
    <row r="197" spans="1:11" x14ac:dyDescent="0.2">
      <c r="A197" s="185"/>
      <c r="B197" s="186"/>
      <c r="C197" s="186"/>
      <c r="D197" s="186"/>
      <c r="E197" s="186"/>
      <c r="F197" s="186"/>
      <c r="G197" s="187"/>
      <c r="H197" s="186"/>
      <c r="I197" s="186"/>
      <c r="J197" s="186"/>
      <c r="K197" s="23"/>
    </row>
    <row r="198" spans="1:11" x14ac:dyDescent="0.2">
      <c r="A198" s="185"/>
      <c r="B198" s="186"/>
      <c r="C198" s="186"/>
      <c r="D198" s="186"/>
      <c r="E198" s="186"/>
      <c r="F198" s="186"/>
      <c r="G198" s="187"/>
      <c r="H198" s="186"/>
      <c r="I198" s="186"/>
      <c r="J198" s="186"/>
      <c r="K198" s="23"/>
    </row>
    <row r="199" spans="1:11" x14ac:dyDescent="0.2">
      <c r="A199" s="185"/>
      <c r="B199" s="186"/>
      <c r="C199" s="186"/>
      <c r="D199" s="186"/>
      <c r="E199" s="186"/>
      <c r="F199" s="186"/>
      <c r="G199" s="187"/>
      <c r="H199" s="186"/>
      <c r="I199" s="186"/>
      <c r="J199" s="186"/>
      <c r="K199" s="23"/>
    </row>
    <row r="200" spans="1:11" x14ac:dyDescent="0.2">
      <c r="A200" s="185"/>
      <c r="B200" s="186"/>
      <c r="C200" s="186"/>
      <c r="D200" s="186"/>
      <c r="E200" s="186"/>
      <c r="F200" s="186"/>
      <c r="G200" s="187"/>
      <c r="H200" s="186"/>
      <c r="I200" s="186"/>
      <c r="J200" s="186"/>
      <c r="K200" s="23"/>
    </row>
    <row r="201" spans="1:11" x14ac:dyDescent="0.2">
      <c r="A201" s="185"/>
      <c r="B201" s="186"/>
      <c r="C201" s="186"/>
      <c r="D201" s="186"/>
      <c r="E201" s="186"/>
      <c r="F201" s="186"/>
      <c r="G201" s="187"/>
      <c r="H201" s="186"/>
      <c r="I201" s="186"/>
      <c r="J201" s="186"/>
      <c r="K201" s="23"/>
    </row>
    <row r="202" spans="1:11" x14ac:dyDescent="0.2">
      <c r="A202" s="185"/>
      <c r="B202" s="186"/>
      <c r="C202" s="186"/>
      <c r="D202" s="186"/>
      <c r="E202" s="186"/>
      <c r="F202" s="186"/>
      <c r="G202" s="187"/>
      <c r="H202" s="186"/>
      <c r="I202" s="186"/>
      <c r="J202" s="186"/>
      <c r="K202" s="23"/>
    </row>
    <row r="203" spans="1:11" x14ac:dyDescent="0.2">
      <c r="A203" s="185"/>
      <c r="B203" s="186"/>
      <c r="C203" s="186"/>
      <c r="D203" s="186"/>
      <c r="E203" s="186"/>
      <c r="F203" s="186"/>
      <c r="G203" s="187"/>
      <c r="H203" s="186"/>
      <c r="I203" s="186"/>
      <c r="J203" s="186"/>
      <c r="K203" s="23"/>
    </row>
    <row r="204" spans="1:11" x14ac:dyDescent="0.2">
      <c r="A204" s="185"/>
      <c r="B204" s="186"/>
      <c r="C204" s="186"/>
      <c r="D204" s="186"/>
      <c r="E204" s="186"/>
      <c r="F204" s="186"/>
      <c r="G204" s="187"/>
      <c r="H204" s="186"/>
      <c r="I204" s="186"/>
      <c r="J204" s="186"/>
      <c r="K204" s="23"/>
    </row>
    <row r="205" spans="1:11" x14ac:dyDescent="0.2">
      <c r="A205" s="185"/>
      <c r="B205" s="186"/>
      <c r="C205" s="186"/>
      <c r="D205" s="186"/>
      <c r="E205" s="186"/>
      <c r="F205" s="186"/>
      <c r="G205" s="187"/>
      <c r="H205" s="186"/>
      <c r="I205" s="186"/>
      <c r="J205" s="186"/>
      <c r="K205" s="23"/>
    </row>
    <row r="206" spans="1:11" x14ac:dyDescent="0.2">
      <c r="A206" s="185"/>
      <c r="B206" s="186"/>
      <c r="C206" s="186"/>
      <c r="D206" s="186"/>
      <c r="E206" s="186"/>
      <c r="F206" s="186"/>
      <c r="G206" s="187"/>
      <c r="H206" s="186"/>
      <c r="I206" s="186"/>
      <c r="J206" s="186"/>
      <c r="K206" s="23"/>
    </row>
    <row r="207" spans="1:11" x14ac:dyDescent="0.2">
      <c r="A207" s="185"/>
      <c r="B207" s="186"/>
      <c r="C207" s="186"/>
      <c r="D207" s="186"/>
      <c r="E207" s="186"/>
      <c r="F207" s="186"/>
      <c r="G207" s="187"/>
      <c r="H207" s="186"/>
      <c r="I207" s="186"/>
      <c r="J207" s="186"/>
      <c r="K207" s="23"/>
    </row>
    <row r="208" spans="1:11" x14ac:dyDescent="0.2">
      <c r="A208" s="185"/>
      <c r="B208" s="186"/>
      <c r="C208" s="186"/>
      <c r="D208" s="186"/>
      <c r="E208" s="186"/>
      <c r="F208" s="186"/>
      <c r="G208" s="187"/>
      <c r="H208" s="186"/>
      <c r="I208" s="186"/>
      <c r="J208" s="186"/>
      <c r="K208" s="23"/>
    </row>
    <row r="209" spans="1:11" x14ac:dyDescent="0.2">
      <c r="A209" s="185"/>
      <c r="B209" s="186"/>
      <c r="C209" s="186"/>
      <c r="D209" s="186"/>
      <c r="E209" s="186"/>
      <c r="F209" s="186"/>
      <c r="G209" s="187"/>
      <c r="H209" s="186"/>
      <c r="I209" s="186"/>
      <c r="J209" s="186"/>
      <c r="K209" s="23"/>
    </row>
    <row r="210" spans="1:11" x14ac:dyDescent="0.2">
      <c r="A210" s="185"/>
      <c r="B210" s="186"/>
      <c r="C210" s="186"/>
      <c r="D210" s="186"/>
      <c r="E210" s="186"/>
      <c r="F210" s="186"/>
      <c r="G210" s="187"/>
      <c r="H210" s="186"/>
      <c r="I210" s="186"/>
      <c r="J210" s="186"/>
      <c r="K210" s="23"/>
    </row>
    <row r="211" spans="1:11" x14ac:dyDescent="0.2">
      <c r="A211" s="185"/>
      <c r="B211" s="186"/>
      <c r="C211" s="186"/>
      <c r="D211" s="186"/>
      <c r="E211" s="186"/>
      <c r="F211" s="186"/>
      <c r="G211" s="187"/>
      <c r="H211" s="186"/>
      <c r="I211" s="186"/>
      <c r="J211" s="186"/>
      <c r="K211" s="23"/>
    </row>
    <row r="212" spans="1:11" x14ac:dyDescent="0.2">
      <c r="A212" s="185"/>
      <c r="B212" s="186"/>
      <c r="C212" s="186"/>
      <c r="D212" s="186"/>
      <c r="E212" s="186"/>
      <c r="F212" s="186"/>
      <c r="G212" s="187"/>
      <c r="H212" s="186"/>
      <c r="I212" s="186"/>
      <c r="J212" s="186"/>
      <c r="K212" s="23"/>
    </row>
    <row r="213" spans="1:11" x14ac:dyDescent="0.2">
      <c r="A213" s="185"/>
      <c r="B213" s="186"/>
      <c r="C213" s="186"/>
      <c r="D213" s="186"/>
      <c r="E213" s="186"/>
      <c r="F213" s="186"/>
      <c r="G213" s="187"/>
      <c r="H213" s="186"/>
      <c r="I213" s="186"/>
      <c r="J213" s="186"/>
      <c r="K213" s="23"/>
    </row>
    <row r="214" spans="1:11" x14ac:dyDescent="0.2">
      <c r="A214" s="185"/>
      <c r="B214" s="186"/>
      <c r="C214" s="186"/>
      <c r="D214" s="186"/>
      <c r="E214" s="186"/>
      <c r="F214" s="186"/>
      <c r="G214" s="187"/>
      <c r="H214" s="186"/>
      <c r="I214" s="186"/>
      <c r="J214" s="186"/>
      <c r="K214" s="23"/>
    </row>
    <row r="215" spans="1:11" x14ac:dyDescent="0.2">
      <c r="A215" s="185"/>
      <c r="B215" s="186"/>
      <c r="C215" s="186"/>
      <c r="D215" s="186"/>
      <c r="E215" s="186"/>
      <c r="F215" s="186"/>
      <c r="G215" s="187"/>
      <c r="H215" s="186"/>
      <c r="I215" s="186"/>
      <c r="J215" s="186"/>
      <c r="K215" s="23"/>
    </row>
    <row r="216" spans="1:11" x14ac:dyDescent="0.2">
      <c r="A216" s="185"/>
      <c r="B216" s="186"/>
      <c r="C216" s="186"/>
      <c r="D216" s="186"/>
      <c r="E216" s="186"/>
      <c r="F216" s="186"/>
      <c r="G216" s="187"/>
      <c r="H216" s="186"/>
      <c r="I216" s="186"/>
      <c r="J216" s="186"/>
      <c r="K216" s="23"/>
    </row>
    <row r="217" spans="1:11" x14ac:dyDescent="0.2">
      <c r="A217" s="188"/>
      <c r="B217" s="189"/>
      <c r="C217" s="189"/>
      <c r="D217" s="189"/>
      <c r="E217" s="189"/>
      <c r="F217" s="189"/>
      <c r="G217" s="190"/>
      <c r="H217" s="189"/>
      <c r="I217" s="189"/>
      <c r="J217" s="189"/>
      <c r="K217" s="191"/>
    </row>
  </sheetData>
  <sheetProtection formatCells="0"/>
  <mergeCells count="10">
    <mergeCell ref="E16:G16"/>
    <mergeCell ref="E17:G17"/>
    <mergeCell ref="E18:G18"/>
    <mergeCell ref="F73:I73"/>
    <mergeCell ref="A3:I3"/>
    <mergeCell ref="N3:P3"/>
    <mergeCell ref="N4:P4"/>
    <mergeCell ref="N5:P5"/>
    <mergeCell ref="B12:J12"/>
    <mergeCell ref="E15:G15"/>
  </mergeCells>
  <conditionalFormatting sqref="K26">
    <cfRule type="expression" dxfId="0" priority="1" stopIfTrue="1">
      <formula>$E$16&lt;&gt;"Pilot Remote Sensing Line"</formula>
    </cfRule>
  </conditionalFormatting>
  <dataValidations count="6">
    <dataValidation type="list" allowBlank="1" showInputMessage="1" showErrorMessage="1" sqref="E17:G17" xr:uid="{8867B7C8-F8FB-4595-87E5-247874DBBBAA}">
      <formula1>$U$14:$U$15</formula1>
    </dataValidation>
    <dataValidation type="list" allowBlank="1" showInputMessage="1" showErrorMessage="1" sqref="E15:G15" xr:uid="{156F27E8-50AF-4DB5-B203-B1ABED1910F8}">
      <formula1>$R$14:$R$18</formula1>
    </dataValidation>
    <dataValidation type="list" allowBlank="1" showInputMessage="1" showErrorMessage="1" sqref="E16:G16" xr:uid="{F5D5FD06-0106-49C7-B948-B20C91D7C263}">
      <formula1>$T$14:$T$17</formula1>
    </dataValidation>
    <dataValidation type="list" allowBlank="1" showInputMessage="1" showErrorMessage="1" sqref="N5" xr:uid="{C6844997-A0B5-4700-826A-DE6BEB1158BC}">
      <formula1>"EOS, COSTALD"</formula1>
    </dataValidation>
    <dataValidation type="list" allowBlank="1" showInputMessage="1" showErrorMessage="1" sqref="J15" xr:uid="{AF77FD98-7E16-4C4E-BF3C-9B768CFF926E}">
      <formula1>"Gas Relief, Steam relief"</formula1>
    </dataValidation>
    <dataValidation type="list" allowBlank="1" showInputMessage="1" showErrorMessage="1" sqref="N4:P4" xr:uid="{A343C74A-1BEA-42DC-BAB8-2BDA0CFF3F09}">
      <formula1>"Adiabatic Flash,Isentropic Flash, Liquid HEM"</formula1>
    </dataValidation>
  </dataValidations>
  <printOptions horizontalCentered="1"/>
  <pageMargins left="0.70866141732283472" right="0.70866141732283472" top="0.70866141732283472" bottom="0.70866141732283472" header="0.70866141732283472" footer="0.51181102362204722"/>
  <pageSetup paperSize="9" fitToHeight="0" orientation="portrait" horizontalDpi="4294967292" verticalDpi="4294967292" r:id="rId1"/>
  <headerFooter alignWithMargins="0">
    <oddFooter>&amp;LFile name: &amp;F&amp;CORS Project no: &amp;RPage &amp;P of &amp;N</oddFooter>
  </headerFooter>
  <rowBreaks count="3" manualBreakCount="3">
    <brk id="64" max="10" man="1"/>
    <brk id="119" max="10" man="1"/>
    <brk id="168"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1]!PrintSinglePage">
                <anchor moveWithCells="1" sizeWithCells="1">
                  <from>
                    <xdr:col>9</xdr:col>
                    <xdr:colOff>28575</xdr:colOff>
                    <xdr:row>5</xdr:row>
                    <xdr:rowOff>19050</xdr:rowOff>
                  </from>
                  <to>
                    <xdr:col>10</xdr:col>
                    <xdr:colOff>542925</xdr:colOff>
                    <xdr:row>7</xdr:row>
                    <xdr:rowOff>28575</xdr:rowOff>
                  </to>
                </anchor>
              </controlPr>
            </control>
          </mc:Choice>
        </mc:AlternateContent>
        <mc:AlternateContent xmlns:mc="http://schemas.openxmlformats.org/markup-compatibility/2006">
          <mc:Choice Requires="x14">
            <control shapeId="8194" r:id="rId5" name="Button 2">
              <controlPr defaultSize="0" print="0" autoFill="0" autoPict="0" macro="[1]!PrintTwoPage">
                <anchor moveWithCells="1" sizeWithCells="1">
                  <from>
                    <xdr:col>9</xdr:col>
                    <xdr:colOff>38100</xdr:colOff>
                    <xdr:row>7</xdr:row>
                    <xdr:rowOff>76200</xdr:rowOff>
                  </from>
                  <to>
                    <xdr:col>10</xdr:col>
                    <xdr:colOff>542925</xdr:colOff>
                    <xdr:row>9</xdr:row>
                    <xdr:rowOff>9525</xdr:rowOff>
                  </to>
                </anchor>
              </controlPr>
            </control>
          </mc:Choice>
        </mc:AlternateContent>
        <mc:AlternateContent xmlns:mc="http://schemas.openxmlformats.org/markup-compatibility/2006">
          <mc:Choice Requires="x14">
            <control shapeId="8198" r:id="rId6" name="Button 6">
              <controlPr defaultSize="0" print="0" autoFill="0" autoPict="0" macro="[0]!Sheet20.Run_Confined_Overpressure">
                <anchor moveWithCells="1" sizeWithCells="1">
                  <from>
                    <xdr:col>7</xdr:col>
                    <xdr:colOff>390525</xdr:colOff>
                    <xdr:row>13</xdr:row>
                    <xdr:rowOff>95250</xdr:rowOff>
                  </from>
                  <to>
                    <xdr:col>10</xdr:col>
                    <xdr:colOff>142875</xdr:colOff>
                    <xdr:row>16</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C3AB-354E-464B-932D-428E82A5E751}">
  <sheetPr codeName="Sheet6"/>
  <dimension ref="A1:C17"/>
  <sheetViews>
    <sheetView workbookViewId="0">
      <selection activeCell="B7" sqref="B7"/>
    </sheetView>
  </sheetViews>
  <sheetFormatPr defaultColWidth="10.140625" defaultRowHeight="15.75" x14ac:dyDescent="0.2"/>
  <cols>
    <col min="1" max="1" width="16.85546875" style="122" customWidth="1"/>
    <col min="2" max="2" width="14.28515625" style="122" customWidth="1"/>
    <col min="3" max="16384" width="10.140625" style="122"/>
  </cols>
  <sheetData>
    <row r="1" spans="1:3" x14ac:dyDescent="0.2">
      <c r="A1" s="122" t="s">
        <v>21</v>
      </c>
      <c r="B1" s="122" t="s">
        <v>22</v>
      </c>
    </row>
    <row r="2" spans="1:3" x14ac:dyDescent="0.2">
      <c r="A2" s="122" t="s">
        <v>23</v>
      </c>
    </row>
    <row r="3" spans="1:3" ht="14.25" customHeight="1" x14ac:dyDescent="0.2">
      <c r="A3" s="122" t="s">
        <v>24</v>
      </c>
      <c r="B3" s="123"/>
      <c r="C3" s="122" t="s">
        <v>25</v>
      </c>
    </row>
    <row r="4" spans="1:3" x14ac:dyDescent="0.2">
      <c r="A4" s="122" t="s">
        <v>26</v>
      </c>
    </row>
    <row r="5" spans="1:3" x14ac:dyDescent="0.2">
      <c r="A5" s="122" t="s">
        <v>27</v>
      </c>
    </row>
    <row r="6" spans="1:3" x14ac:dyDescent="0.2">
      <c r="A6" s="122" t="s">
        <v>28</v>
      </c>
    </row>
    <row r="7" spans="1:3" x14ac:dyDescent="0.2">
      <c r="A7" s="122" t="s">
        <v>29</v>
      </c>
      <c r="B7" s="122" t="b">
        <v>0</v>
      </c>
    </row>
    <row r="8" spans="1:3" x14ac:dyDescent="0.2">
      <c r="A8" s="122" t="s">
        <v>30</v>
      </c>
      <c r="B8" s="122" t="b">
        <v>0</v>
      </c>
    </row>
    <row r="9" spans="1:3" x14ac:dyDescent="0.2">
      <c r="A9" s="122" t="s">
        <v>31</v>
      </c>
      <c r="B9" s="122" t="b">
        <v>0</v>
      </c>
    </row>
    <row r="11" spans="1:3" x14ac:dyDescent="0.2">
      <c r="B11" s="123"/>
    </row>
    <row r="13" spans="1:3" x14ac:dyDescent="0.2">
      <c r="A13" s="124" t="s">
        <v>32</v>
      </c>
    </row>
    <row r="14" spans="1:3" x14ac:dyDescent="0.2">
      <c r="A14" s="122" t="s">
        <v>33</v>
      </c>
    </row>
    <row r="15" spans="1:3" x14ac:dyDescent="0.2">
      <c r="A15" s="122" t="s">
        <v>34</v>
      </c>
    </row>
    <row r="16" spans="1:3" x14ac:dyDescent="0.2">
      <c r="A16" s="122" t="s">
        <v>35</v>
      </c>
    </row>
    <row r="17" spans="1:1" x14ac:dyDescent="0.2">
      <c r="A17" s="122" t="s">
        <v>36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91</vt:i4>
      </vt:variant>
    </vt:vector>
  </HeadingPairs>
  <TitlesOfParts>
    <vt:vector size="96" baseType="lpstr">
      <vt:lpstr>Unconfined overpressure</vt:lpstr>
      <vt:lpstr>Jet flame</vt:lpstr>
      <vt:lpstr>Jet plume</vt:lpstr>
      <vt:lpstr>Confined overpressure</vt:lpstr>
      <vt:lpstr>xlwings.conf</vt:lpstr>
      <vt:lpstr>'Jet flame'!AMB_HUM</vt:lpstr>
      <vt:lpstr>'Jet plume'!AMB_HUM</vt:lpstr>
      <vt:lpstr>'Confined overpressure'!AMB_PRES</vt:lpstr>
      <vt:lpstr>'Jet flame'!AMB_PRES</vt:lpstr>
      <vt:lpstr>'Jet plume'!AMB_PRES</vt:lpstr>
      <vt:lpstr>'Unconfined overpressure'!AMB_PRES</vt:lpstr>
      <vt:lpstr>'Confined overpressure'!AMB_TEMP</vt:lpstr>
      <vt:lpstr>'Jet flame'!AMB_TEMP</vt:lpstr>
      <vt:lpstr>'Jet plume'!AMB_TEMP</vt:lpstr>
      <vt:lpstr>'Unconfined overpressure'!AMB_TEMP</vt:lpstr>
      <vt:lpstr>BLOWDOWN</vt:lpstr>
      <vt:lpstr>BST_FLAME_SPEED</vt:lpstr>
      <vt:lpstr>CALCULATION_METHOD</vt:lpstr>
      <vt:lpstr>CEIL_VENT_AREA</vt:lpstr>
      <vt:lpstr>CEIL_VENT_HEIGHT</vt:lpstr>
      <vt:lpstr>DIST_REL_TO_WALL</vt:lpstr>
      <vt:lpstr>ENCLOSURE_HEIGHT</vt:lpstr>
      <vt:lpstr>FLAME_MASS_FLOW</vt:lpstr>
      <vt:lpstr>FLOOR_CEIL_AREA</vt:lpstr>
      <vt:lpstr>FLOOR_VENT_AREA</vt:lpstr>
      <vt:lpstr>FLOOR_VENT_HEIGHT</vt:lpstr>
      <vt:lpstr>'Confined overpressure'!HYRAM_COMPS</vt:lpstr>
      <vt:lpstr>'Jet flame'!HYRAM_COMPS</vt:lpstr>
      <vt:lpstr>'Unconfined overpressure'!HYRAM_COMPS</vt:lpstr>
      <vt:lpstr>HYRAM_COMPS</vt:lpstr>
      <vt:lpstr>'Confined overpressure'!HYRAM_MOLEFRACS</vt:lpstr>
      <vt:lpstr>'Jet flame'!HYRAM_MOLEFRACS</vt:lpstr>
      <vt:lpstr>'Unconfined overpressure'!HYRAM_MOLEFRACS</vt:lpstr>
      <vt:lpstr>HYRAM_MOLEFRACS</vt:lpstr>
      <vt:lpstr>'Confined overpressure'!LEAK_CD</vt:lpstr>
      <vt:lpstr>'Jet flame'!LEAK_CD</vt:lpstr>
      <vt:lpstr>'Jet plume'!LEAK_CD</vt:lpstr>
      <vt:lpstr>'Unconfined overpressure'!LEAK_CD</vt:lpstr>
      <vt:lpstr>'Confined overpressure'!LEAK_DIAMETER</vt:lpstr>
      <vt:lpstr>'Jet flame'!LEAK_DIAMETER</vt:lpstr>
      <vt:lpstr>'Jet plume'!LEAK_DIAMETER</vt:lpstr>
      <vt:lpstr>'Unconfined overpressure'!LEAK_DIAMETER</vt:lpstr>
      <vt:lpstr>LFL</vt:lpstr>
      <vt:lpstr>MAX_TIME</vt:lpstr>
      <vt:lpstr>'Confined overpressure'!NOZZLE_MODEL</vt:lpstr>
      <vt:lpstr>'Jet flame'!NOZZLE_MODEL</vt:lpstr>
      <vt:lpstr>'Jet plume'!NOZZLE_MODEL</vt:lpstr>
      <vt:lpstr>'Unconfined overpressure'!NOZZLE_MODEL</vt:lpstr>
      <vt:lpstr>OVERP_IMPULSE</vt:lpstr>
      <vt:lpstr>OVERP_MASS</vt:lpstr>
      <vt:lpstr>OVERP_MASS_FLOW</vt:lpstr>
      <vt:lpstr>OVERP_PRESSURE</vt:lpstr>
      <vt:lpstr>OVERP_X</vt:lpstr>
      <vt:lpstr>OVERP_Y</vt:lpstr>
      <vt:lpstr>OVERP_Z</vt:lpstr>
      <vt:lpstr>POSITIONAL_FLUX</vt:lpstr>
      <vt:lpstr>'Confined overpressure'!Print_Area</vt:lpstr>
      <vt:lpstr>'Jet flame'!Print_Area</vt:lpstr>
      <vt:lpstr>'Jet plume'!Print_Area</vt:lpstr>
      <vt:lpstr>'Unconfined overpressure'!Print_Area</vt:lpstr>
      <vt:lpstr>'Confined overpressure'!Print_Titles</vt:lpstr>
      <vt:lpstr>'Jet flame'!Print_Titles</vt:lpstr>
      <vt:lpstr>'Jet plume'!Print_Titles</vt:lpstr>
      <vt:lpstr>'Unconfined overpressure'!Print_Titles</vt:lpstr>
      <vt:lpstr>RADIANT_FRAC</vt:lpstr>
      <vt:lpstr>RADIATION_X</vt:lpstr>
      <vt:lpstr>RADIATION_Y</vt:lpstr>
      <vt:lpstr>RADIATION_Z</vt:lpstr>
      <vt:lpstr>RADIATIVE_POWER</vt:lpstr>
      <vt:lpstr>'Confined overpressure'!REL_COMP</vt:lpstr>
      <vt:lpstr>'Jet flame'!REL_COMP</vt:lpstr>
      <vt:lpstr>'Unconfined overpressure'!REL_COMP</vt:lpstr>
      <vt:lpstr>REL_COMP</vt:lpstr>
      <vt:lpstr>REL_HEIGHT</vt:lpstr>
      <vt:lpstr>'Confined overpressure'!RELEASE_ANGLE</vt:lpstr>
      <vt:lpstr>'Jet flame'!RELEASE_ANGLE</vt:lpstr>
      <vt:lpstr>'Jet plume'!RELEASE_ANGLE</vt:lpstr>
      <vt:lpstr>'Unconfined overpressure'!RELEASE_ANGLE</vt:lpstr>
      <vt:lpstr>'Jet plume'!RES_MASS_FLOW</vt:lpstr>
      <vt:lpstr>'Jet plume'!RES_MAX_X</vt:lpstr>
      <vt:lpstr>'Jet plume'!RES_MAX_Y</vt:lpstr>
      <vt:lpstr>'Jet plume'!RES_MIN_X</vt:lpstr>
      <vt:lpstr>'Jet plume'!RES_MIN_Y</vt:lpstr>
      <vt:lpstr>'Jet plume'!RES_STREAM_LENGTH</vt:lpstr>
      <vt:lpstr>'Confined overpressure'!STAG_PRES</vt:lpstr>
      <vt:lpstr>'Jet flame'!STAG_PRES</vt:lpstr>
      <vt:lpstr>'Jet plume'!STAG_PRES</vt:lpstr>
      <vt:lpstr>'Unconfined overpressure'!STAG_PRES</vt:lpstr>
      <vt:lpstr>'Confined overpressure'!STAG_TEMP</vt:lpstr>
      <vt:lpstr>'Jet flame'!STAG_TEMP</vt:lpstr>
      <vt:lpstr>'Jet plume'!STAG_TEMP</vt:lpstr>
      <vt:lpstr>'Unconfined overpressure'!STAG_TEMP</vt:lpstr>
      <vt:lpstr>TANK_VOLUME</vt:lpstr>
      <vt:lpstr>VENT_RATE</vt:lpstr>
      <vt:lpstr>VISIBLE_LENGTH</vt:lpstr>
      <vt:lpstr>WIND_SPEED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Anders Andreasen</dc:creator>
  <cp:lastModifiedBy>Anders Andreasen</cp:lastModifiedBy>
  <cp:lastPrinted>2025-02-03T14:29:16Z</cp:lastPrinted>
  <dcterms:created xsi:type="dcterms:W3CDTF">2025-02-02T20:38:25Z</dcterms:created>
  <dcterms:modified xsi:type="dcterms:W3CDTF">2025-02-03T14:43:52Z</dcterms:modified>
</cp:coreProperties>
</file>