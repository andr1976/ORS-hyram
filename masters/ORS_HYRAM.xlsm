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93DD071C-3291-4883-8DDF-7017ECA1CD52}" xr6:coauthVersionLast="47" xr6:coauthVersionMax="47" xr10:uidLastSave="{00000000-0000-0000-0000-000000000000}"/>
  <bookViews>
    <workbookView xWindow="-120" yWindow="-120" windowWidth="38640" windowHeight="21120" activeTab="4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xlwings.conf" sheetId="2" r:id="rId6"/>
  </sheets>
  <functionGroups builtInGroupCount="19"/>
  <externalReferences>
    <externalReference r:id="rId7"/>
    <externalReference r:id="rId8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5">[1]PSV_GAS!$F$24</definedName>
    <definedName name="GAS_API_MET" localSheetId="5">[1]PSV_GAS!$E$15</definedName>
    <definedName name="GAS_AREA" localSheetId="5">[1]PSV_GAS!$F$43</definedName>
    <definedName name="GAS_BACK_P" localSheetId="5">[1]PSV_GAS!$F$26</definedName>
    <definedName name="GAS_COMP" localSheetId="5">[1]PSV_GAS!#REF!</definedName>
    <definedName name="GAS_DP_LEAD" localSheetId="5">[1]PSV_GAS!$J$26</definedName>
    <definedName name="GAS_F_TYPE" localSheetId="5">[1]PSV_GAS!$F$54</definedName>
    <definedName name="GAS_FLOW" localSheetId="5">[1]PSV_GAS!#REF!</definedName>
    <definedName name="GAS_FLOW_REGIME" localSheetId="5">[1]PSV_GAS!$F$42</definedName>
    <definedName name="GAS_IN_OLD" localSheetId="5">[1]PSV_GAS!#REF!</definedName>
    <definedName name="GAS_INSTALL_AREA" localSheetId="5">[1]PSV_GAS!$I$48</definedName>
    <definedName name="GAS_INSTALL_RATED" localSheetId="5">[1]PSV_GAS!$I$50</definedName>
    <definedName name="GAS_K" localSheetId="5">[1]PSV_GAS!$F$32</definedName>
    <definedName name="GAS_K_N" localSheetId="5">[1]PSV_GAS!$F$38</definedName>
    <definedName name="GAS_K_SH" localSheetId="5">[1]PSV_GAS!$F$39</definedName>
    <definedName name="GAS_KB" localSheetId="5">[1]PSV_GAS!$F$36</definedName>
    <definedName name="GAS_KC" localSheetId="5">[1]PSV_GAS!$F$37</definedName>
    <definedName name="GAS_KD" localSheetId="5">[1]PSV_GAS!$F$28</definedName>
    <definedName name="GAS_MASS_FLOW" localSheetId="5">[1]PSV_GAS!$F$21</definedName>
    <definedName name="GAS_MET" localSheetId="5">[1]PSV_GAS!#REF!</definedName>
    <definedName name="GAS_MW" localSheetId="5">[1]PSV_GAS!$F$31</definedName>
    <definedName name="GAS_ORI_A" localSheetId="5">[1]PSV_GAS!$F$48</definedName>
    <definedName name="GAS_ORI_INSTALL" localSheetId="5">[1]PSV_GAS!$I$47</definedName>
    <definedName name="GAS_OUT_OLD" localSheetId="5">[1]PSV_GAS!#REF!</definedName>
    <definedName name="GAS_RATED" localSheetId="5">[1]PSV_GAS!$F$50</definedName>
    <definedName name="GAS_REL_P" localSheetId="5">[1]PSV_GAS!$F$25</definedName>
    <definedName name="GAS_SET_P" localSheetId="5">[1]PSV_GAS!$F$23</definedName>
    <definedName name="GAS_T_OPR" localSheetId="5">[1]PSV_GAS!$F$27</definedName>
    <definedName name="GAS_T_VENT" localSheetId="5">[1]PSV_GAS!$F$53</definedName>
    <definedName name="GAS_Z" localSheetId="5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5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TIME">'Confined overpressure'!$E$32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>'Confined overpressure'!$E$25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5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8" i="6" l="1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18" i="3" l="1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6" l="1"/>
  <c r="O26" i="5"/>
  <c r="O26" i="3"/>
  <c r="O26" i="4"/>
</calcChain>
</file>

<file path=xl/sharedStrings.xml><?xml version="1.0" encoding="utf-8"?>
<sst xmlns="http://schemas.openxmlformats.org/spreadsheetml/2006/main" count="369" uniqueCount="170">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</sst>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</numFmts>
  <fonts count="22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4" borderId="0" xfId="1" applyFont="1" applyFill="1" applyAlignment="1" applyProtection="1">
      <alignment horizontal="left"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6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11</xdr:row>
          <xdr:rowOff>104775</xdr:rowOff>
        </xdr:from>
        <xdr:to>
          <xdr:col>10</xdr:col>
          <xdr:colOff>114300</xdr:colOff>
          <xdr:row>14</xdr:row>
          <xdr:rowOff>114300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318527</xdr:colOff>
      <xdr:row>59</xdr:row>
      <xdr:rowOff>141740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9EEE308F-9B9F-3DD9-2029-543CA0079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43450"/>
          <a:ext cx="5385827" cy="41422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291095</xdr:colOff>
      <xdr:row>97</xdr:row>
      <xdr:rowOff>17915</xdr:rowOff>
    </xdr:to>
    <xdr:pic>
      <xdr:nvPicPr>
        <xdr:cNvPr id="6" name="Impulse">
          <a:extLst>
            <a:ext uri="{FF2B5EF4-FFF2-40B4-BE49-F238E27FC236}">
              <a16:creationId xmlns:a16="http://schemas.microsoft.com/office/drawing/2014/main" id="{1CEBA1DD-7979-E89C-EDA5-D236553EE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029825"/>
          <a:ext cx="5358395" cy="4142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157743</xdr:colOff>
      <xdr:row>60</xdr:row>
      <xdr:rowOff>72017</xdr:rowOff>
    </xdr:to>
    <xdr:pic>
      <xdr:nvPicPr>
        <xdr:cNvPr id="4" name="Flame heat flux">
          <a:extLst>
            <a:ext uri="{FF2B5EF4-FFF2-40B4-BE49-F238E27FC236}">
              <a16:creationId xmlns:a16="http://schemas.microsoft.com/office/drawing/2014/main" id="{BE124702-4781-861F-6E5F-1E8A73C00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43450"/>
          <a:ext cx="4672593" cy="4215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57159</xdr:colOff>
      <xdr:row>97</xdr:row>
      <xdr:rowOff>21345</xdr:rowOff>
    </xdr:to>
    <xdr:pic>
      <xdr:nvPicPr>
        <xdr:cNvPr id="6" name="Flame temperature">
          <a:extLst>
            <a:ext uri="{FF2B5EF4-FFF2-40B4-BE49-F238E27FC236}">
              <a16:creationId xmlns:a16="http://schemas.microsoft.com/office/drawing/2014/main" id="{7B3F99FC-705B-C9D6-E98E-53AF0C049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886950"/>
          <a:ext cx="4572009" cy="42885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11</xdr:row>
          <xdr:rowOff>85725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140981</xdr:colOff>
      <xdr:row>60</xdr:row>
      <xdr:rowOff>126881</xdr:rowOff>
    </xdr:to>
    <xdr:pic>
      <xdr:nvPicPr>
        <xdr:cNvPr id="8" name="Jet Plume">
          <a:extLst>
            <a:ext uri="{FF2B5EF4-FFF2-40B4-BE49-F238E27FC236}">
              <a16:creationId xmlns:a16="http://schemas.microsoft.com/office/drawing/2014/main" id="{1FACB235-B8EF-048D-C86D-B6CA53556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43450"/>
          <a:ext cx="5760731" cy="42702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440025</xdr:colOff>
      <xdr:row>60</xdr:row>
      <xdr:rowOff>125131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48778</xdr:colOff>
      <xdr:row>91</xdr:row>
      <xdr:rowOff>122842</xdr:rowOff>
    </xdr:to>
    <xdr:pic>
      <xdr:nvPicPr>
        <xdr:cNvPr id="6" name="Overpressure">
          <a:extLst>
            <a:ext uri="{FF2B5EF4-FFF2-40B4-BE49-F238E27FC236}">
              <a16:creationId xmlns:a16="http://schemas.microsoft.com/office/drawing/2014/main" id="{E44688E1-CD75-96D6-C659-1EF1F5A94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601201"/>
          <a:ext cx="4773178" cy="381854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126194</xdr:rowOff>
    </xdr:to>
    <xdr:pic>
      <xdr:nvPicPr>
        <xdr:cNvPr id="10" name="Layer">
          <a:extLst>
            <a:ext uri="{FF2B5EF4-FFF2-40B4-BE49-F238E27FC236}">
              <a16:creationId xmlns:a16="http://schemas.microsoft.com/office/drawing/2014/main" id="{58C8B3A0-38F0-E58E-03BE-B18420456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439775"/>
          <a:ext cx="4764948" cy="355519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120</xdr:row>
      <xdr:rowOff>0</xdr:rowOff>
    </xdr:from>
    <xdr:to>
      <xdr:col>9</xdr:col>
      <xdr:colOff>436636</xdr:colOff>
      <xdr:row>143</xdr:row>
      <xdr:rowOff>20200</xdr:rowOff>
    </xdr:to>
    <xdr:pic>
      <xdr:nvPicPr>
        <xdr:cNvPr id="14" name="Trajectory">
          <a:extLst>
            <a:ext uri="{FF2B5EF4-FFF2-40B4-BE49-F238E27FC236}">
              <a16:creationId xmlns:a16="http://schemas.microsoft.com/office/drawing/2014/main" id="{FD1DEC64-9BBB-55B6-4B93-998E4CB33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449800"/>
          <a:ext cx="4608585" cy="374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94266</xdr:rowOff>
    </xdr:to>
    <xdr:pic>
      <xdr:nvPicPr>
        <xdr:cNvPr id="16" name="Mass">
          <a:extLst>
            <a:ext uri="{FF2B5EF4-FFF2-40B4-BE49-F238E27FC236}">
              <a16:creationId xmlns:a16="http://schemas.microsoft.com/office/drawing/2014/main" id="{37590B00-C4D8-DD8C-B261-8FD1779DF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336000"/>
          <a:ext cx="4666192" cy="381854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161922</xdr:rowOff>
    </xdr:from>
    <xdr:to>
      <xdr:col>9</xdr:col>
      <xdr:colOff>61731</xdr:colOff>
      <xdr:row>215</xdr:row>
      <xdr:rowOff>31405</xdr:rowOff>
    </xdr:to>
    <xdr:pic>
      <xdr:nvPicPr>
        <xdr:cNvPr id="18" name="Blowdown">
          <a:extLst>
            <a:ext uri="{FF2B5EF4-FFF2-40B4-BE49-F238E27FC236}">
              <a16:creationId xmlns:a16="http://schemas.microsoft.com/office/drawing/2014/main" id="{3EEC6E8A-F4F4-5CD7-8A19-BC504A643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707972"/>
          <a:ext cx="4576581" cy="71561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K50" sqref="K50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H19" sqref="H19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0" t="s">
        <v>1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185" t="s">
        <v>39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185" t="s">
        <v>91</v>
      </c>
      <c r="F17" s="185"/>
      <c r="G17" s="18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187">
        <v>0.35</v>
      </c>
      <c r="F18" s="188"/>
      <c r="G18" s="189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86"/>
      <c r="G73" s="186"/>
      <c r="H73" s="186"/>
      <c r="I73" s="186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F73:I73"/>
    <mergeCell ref="E17:G17"/>
    <mergeCell ref="E18:G18"/>
    <mergeCell ref="A3:I3"/>
  </mergeCells>
  <conditionalFormatting sqref="K26">
    <cfRule type="expression" dxfId="5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r:id="rId5">
            <anchor moveWithCells="1">
              <from>
                <xdr:col>7</xdr:col>
                <xdr:colOff>390525</xdr:colOff>
                <xdr:row>11</xdr:row>
                <xdr:rowOff>104775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0" t="s">
        <v>1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5" t="s">
        <v>41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186"/>
      <c r="G74" s="186"/>
      <c r="H74" s="186"/>
      <c r="I74" s="186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4" priority="1" stopIfTrue="1">
      <formula>$E$16&lt;&gt;"Pilot Remote Sensing Line"</formula>
    </cfRule>
  </conditionalFormatting>
  <conditionalFormatting sqref="K26">
    <cfRule type="expression" dxfId="3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defaultGridColor="0" view="pageBreakPreview" colorId="8" zoomScaleNormal="100" zoomScaleSheetLayoutView="100" workbookViewId="0">
      <selection activeCell="B12" sqref="B12:J12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0" t="e">
        <f>TITLE</f>
        <v>#NAME?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5" t="s">
        <v>39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86"/>
      <c r="G73" s="186"/>
      <c r="H73" s="186"/>
      <c r="I73" s="186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2" priority="1" stopIfTrue="1">
      <formula>$E$16&lt;&gt;"Pilot Remote Sensing Line"</formula>
    </cfRule>
  </conditionalFormatting>
  <conditionalFormatting sqref="K26">
    <cfRule type="expression" dxfId="1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190500</xdr:colOff>
                <xdr:row>11</xdr:row>
                <xdr:rowOff>85725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tabSelected="1" defaultGridColor="0" view="pageBreakPreview" colorId="8" zoomScaleNormal="100" zoomScaleSheetLayoutView="100" workbookViewId="0">
      <selection activeCell="H1" sqref="H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0" t="e">
        <f>TITLE</f>
        <v>#NAME?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5" t="s">
        <v>39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185" t="s">
        <v>107</v>
      </c>
      <c r="F17" s="185"/>
      <c r="G17" s="18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23.918883297436881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86"/>
      <c r="G73" s="186"/>
      <c r="H73" s="186"/>
      <c r="I73" s="186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E17:G17"/>
    <mergeCell ref="E18:G18"/>
    <mergeCell ref="F73:I73"/>
    <mergeCell ref="A3:I3"/>
  </mergeCells>
  <conditionalFormatting sqref="K26">
    <cfRule type="expression" dxfId="0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0" sqref="D10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98</vt:i4>
      </vt:variant>
    </vt:vector>
  </HeadingPairs>
  <TitlesOfParts>
    <vt:vector size="104" baseType="lpstr">
      <vt:lpstr>README</vt:lpstr>
      <vt:lpstr>Unconfined overpressure</vt:lpstr>
      <vt:lpstr>Jet flame</vt:lpstr>
      <vt:lpstr>Jet plume</vt:lpstr>
      <vt:lpstr>Confined overpressure</vt:lpstr>
      <vt:lpstr>xlwings.conf</vt:lpstr>
      <vt:lpstr>'Jet flame'!AMB_HUM</vt:lpstr>
      <vt:lpstr>'Jet plume'!AMB_HUM</vt:lpstr>
      <vt:lpstr>'Confined overpressure'!AMB_PRES</vt:lpstr>
      <vt:lpstr>'Jet flame'!AMB_PRES</vt:lpstr>
      <vt:lpstr>'Jet plume'!AMB_PRES</vt:lpstr>
      <vt:lpstr>'Unconfined overpressure'!AMB_PRES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ENCLOSURE_HEIGHT</vt:lpstr>
      <vt:lpstr>FLAME_MASS_FLOW</vt:lpstr>
      <vt:lpstr>FLOOR_CEIL_AREA</vt:lpstr>
      <vt:lpstr>FLOOR_VENT_AREA</vt:lpstr>
      <vt:lpstr>FLOOR_VENT_HEIGHT</vt:lpstr>
      <vt:lpstr>'Confined overpressure'!HYRAM_COMPS</vt:lpstr>
      <vt:lpstr>'Jet flame'!HYRAM_COMPS</vt:lpstr>
      <vt:lpstr>'Unconfined overpressure'!HYRAM_COMPS</vt:lpstr>
      <vt:lpstr>HYRAM_COMPS</vt:lpstr>
      <vt:lpstr>'Confined overpressure'!HYRAM_MOLEFRACS</vt:lpstr>
      <vt:lpstr>'Jet flame'!HYRAM_MOLEFRACS</vt:lpstr>
      <vt:lpstr>'Unconfined overpressure'!HYRAM_MOLEFRACS</vt:lpstr>
      <vt:lpstr>HYRAM_MOLEFRACS</vt:lpstr>
      <vt:lpstr>'Confined overpressure'!LEAK_CD</vt:lpstr>
      <vt:lpstr>'Jet flame'!LEAK_CD</vt:lpstr>
      <vt:lpstr>'Jet plume'!LEAK_CD</vt:lpstr>
      <vt:lpstr>'Unconfined overpressure'!LEAK_CD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MAX_TIME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'Confined overpressure'!Print_Area</vt:lpstr>
      <vt:lpstr>'Jet flame'!Print_Area</vt:lpstr>
      <vt:lpstr>'Jet plume'!Print_Area</vt:lpstr>
      <vt:lpstr>'Unconfined overpressure'!Print_Area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'Confined overpressure'!STAG_PRES</vt:lpstr>
      <vt:lpstr>'Jet flame'!STAG_PRES</vt:lpstr>
      <vt:lpstr>'Jet plume'!STAG_PRES</vt:lpstr>
      <vt:lpstr>'Unconfined overpressure'!STAG_PRES</vt:lpstr>
      <vt:lpstr>'Confined overpressure'!STAG_TEMP</vt:lpstr>
      <vt:lpstr>'Jet flame'!STAG_TEMP</vt:lpstr>
      <vt:lpstr>'Jet plume'!STAG_TEMP</vt:lpstr>
      <vt:lpstr>'Unconfined overpressure'!STAG_TEMP</vt:lpstr>
      <vt:lpstr>TANK_VOLUME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2025-03-17T11:03:00Z</dcterms:modified>
</cp:coreProperties>
</file>