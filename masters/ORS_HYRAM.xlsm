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ersAndreasen\Documents\GitHub\hyram\masters\"/>
    </mc:Choice>
  </mc:AlternateContent>
  <xr:revisionPtr revIDLastSave="0" documentId="13_ncr:1_{5724168D-6787-4D33-9BA3-E55A2DF153DC}" xr6:coauthVersionLast="47" xr6:coauthVersionMax="47" xr10:uidLastSave="{00000000-0000-0000-0000-000000000000}"/>
  <bookViews>
    <workbookView xWindow="-108" yWindow="-108" windowWidth="23256" windowHeight="13896" activeTab="5" xr2:uid="{5EE5165D-7E0A-48FD-8E5F-4CC3F06737AC}"/>
  </bookViews>
  <sheets>
    <sheet name="README" sheetId="7" r:id="rId1"/>
    <sheet name="Unconfined overpressure" sheetId="5" r:id="rId2"/>
    <sheet name="Jet flame" sheetId="4" r:id="rId3"/>
    <sheet name="Jet plume" sheetId="3" r:id="rId4"/>
    <sheet name="Confined overpressure" sheetId="6" r:id="rId5"/>
    <sheet name="Blowdown" sheetId="8" r:id="rId6"/>
    <sheet name="xlwings.conf" sheetId="2" r:id="rId7"/>
  </sheets>
  <functionGroups builtInGroupCount="19"/>
  <externalReferences>
    <externalReference r:id="rId8"/>
    <externalReference r:id="rId9"/>
  </externalReferences>
  <definedNames>
    <definedName name="_Order1" hidden="1">255</definedName>
    <definedName name="_Order2" hidden="1">255</definedName>
    <definedName name="_xleta.CHOOSE" hidden="1" xlm="1">#NAME?</definedName>
    <definedName name="AMB_HUM" localSheetId="2">'Jet flame'!$E$26</definedName>
    <definedName name="AMB_HUM" localSheetId="3">'Jet plume'!$E$26</definedName>
    <definedName name="AMB_PRES" localSheetId="5">Blowdown!$E$28</definedName>
    <definedName name="AMB_PRES" localSheetId="4">'Confined overpressure'!$E$28</definedName>
    <definedName name="AMB_PRES" localSheetId="2">'Jet flame'!$E$25</definedName>
    <definedName name="AMB_PRES" localSheetId="3">'Jet plume'!$E$25</definedName>
    <definedName name="AMB_PRES" localSheetId="1">'Unconfined overpressure'!$E$27</definedName>
    <definedName name="AMB_TEMP" localSheetId="5">Blowdown!$E$27</definedName>
    <definedName name="AMB_TEMP" localSheetId="4">'Confined overpressure'!$E$27</definedName>
    <definedName name="AMB_TEMP" localSheetId="2">'Jet flame'!$E$24</definedName>
    <definedName name="AMB_TEMP" localSheetId="3">'Jet plume'!$E$24</definedName>
    <definedName name="AMB_TEMP" localSheetId="1">'Unconfined overpressure'!$E$26</definedName>
    <definedName name="API_REF">[1]MANUAL!$B$81</definedName>
    <definedName name="ASME_CERT">[1]PSV_SUMMARY!$G$44</definedName>
    <definedName name="BLOWDOWN">'Confined overpressure'!$E$17</definedName>
    <definedName name="BST_FLAME_SPEED">'Unconfined overpressure'!$E$18</definedName>
    <definedName name="CALCULATION_METHOD">'Unconfined overpressure'!$E$17</definedName>
    <definedName name="CEIL_VENT_AREA">'Confined overpressure'!$I$22</definedName>
    <definedName name="CEIL_VENT_HEIGHT">'Confined overpressure'!$I$23</definedName>
    <definedName name="COMPANY">[1]FRONTPAGE!#REF!</definedName>
    <definedName name="CONTOUR">'Jet plume'!$E$28</definedName>
    <definedName name="DIST_REL_TO_WALL">'Confined overpressure'!$E$29</definedName>
    <definedName name="ENCLOSURE_HEIGHT">'Confined overpressure'!$I$20</definedName>
    <definedName name="EQUIPMENT">[1]FRONTPAGE!$A$7</definedName>
    <definedName name="FIRE_ALLOWANCE">[1]PSV_FIRE!$G$23</definedName>
    <definedName name="FIRE_AREA">[1]PSV_FIRE!$G$51</definedName>
    <definedName name="FIRE_BACK_P">[1]PSV_FIRE!$G$25</definedName>
    <definedName name="FIRE_C">[1]PSV_FIRE!$G$42</definedName>
    <definedName name="FIRE_DP_LEAD">[1]PSV_FIRE!$K$25</definedName>
    <definedName name="FIRE_DRAIN_FF">[1]PSV_FIRE!$E$18</definedName>
    <definedName name="FIRE_E_AREA">[1]PSV_FIRE!$K$14</definedName>
    <definedName name="FIRE_ENV_F">[1]PSV_FIRE!$G$33</definedName>
    <definedName name="FIRE_EXPOSED_A">[1]PSV_FIRE!$E$14</definedName>
    <definedName name="FIRE_FLOW_REGIME">[1]PSV_FIRE!$G$50</definedName>
    <definedName name="FIRE_HEAT_ABS">[1]PSV_FIRE!$G$44</definedName>
    <definedName name="FIRE_ID">[1]PSV_FIRE!$G$29</definedName>
    <definedName name="FIRE_INSTALL_AREA">[1]PSV_FIRE!$I$55</definedName>
    <definedName name="FIRE_INSTALL_ORI">[1]PSV_FIRE!$I$54</definedName>
    <definedName name="FIRE_INSTALL_RATED">[1]PSV_FIRE!$I$57</definedName>
    <definedName name="FIRE_K">[1]PSV_FIRE!$G$38</definedName>
    <definedName name="FIRE_KB">[1]PSV_FIRE!$G$47</definedName>
    <definedName name="FIRE_KC">[1]PSV_FIRE!$G$46</definedName>
    <definedName name="FIRE_KN">[1]PSV_FIRE!$G$48</definedName>
    <definedName name="FIRE_KSH">[1]PSV_FIRE!$G$49</definedName>
    <definedName name="FIRE_LATEN_H">[1]PSV_FIRE!$G$36</definedName>
    <definedName name="FIRE_LENGTH">[1]PSV_FIRE!$G$30</definedName>
    <definedName name="FIRE_LH">[1]PSV_FIRE!$G$31</definedName>
    <definedName name="FIRE_LIQ_DEN">[1]PSV_FIRE!$P$6</definedName>
    <definedName name="FIRE_MAN_HEAT">[1]PSV_FIRE!$K$44</definedName>
    <definedName name="FIRE_MET">[1]PSV_FIRE!$P$2</definedName>
    <definedName name="FIRE_MW">[1]PSV_FIRE!$G$37</definedName>
    <definedName name="FIRE_ORI">[1]PSV_FIRE!$G$54</definedName>
    <definedName name="FIRE_ORI_A">[1]PSV_FIRE!$G$55</definedName>
    <definedName name="FIRE_RATED">[1]PSV_FIRE!$G$57</definedName>
    <definedName name="FIRE_REL_FLOW">[1]PSV_FIRE!$G$45</definedName>
    <definedName name="FIRE_REL_P">[1]PSV_FIRE!$K$22</definedName>
    <definedName name="FIRE_REL_TIME">[1]PSV_FIRE!$G$60</definedName>
    <definedName name="FIRE_REL_TYPE">[1]PSV_FIRE!$E$15</definedName>
    <definedName name="FIRE_SET_P">[1]PSV_FIRE!$G$22</definedName>
    <definedName name="FIRE_T_REL">[1]PSV_FIRE!$G$24</definedName>
    <definedName name="FIRE_VENT_T">[1]PSV_FIRE!$G$59</definedName>
    <definedName name="FIRE_VESS_TYPE">[1]PSV_FIRE!$E$13</definedName>
    <definedName name="FIRE_WETTET_A">[1]PSV_FIRE!$G$43</definedName>
    <definedName name="FIRE_WH">[1]PSV_FIRE!$G$32</definedName>
    <definedName name="FIRE_Z">[1]PSV_FIRE!$G$39</definedName>
    <definedName name="FLAME_MASS_FLOW">'Jet flame'!$I$19</definedName>
    <definedName name="FLOOR_CEIL_AREA">'Confined overpressure'!$I$21</definedName>
    <definedName name="FLOOR_VENT_AREA">'Confined overpressure'!$I$24</definedName>
    <definedName name="FLOOR_VENT_HEIGHT">'Confined overpressure'!$I$25</definedName>
    <definedName name="GAS_ALLOWANCE" localSheetId="6">[1]PSV_GAS!$F$24</definedName>
    <definedName name="GAS_API_MET" localSheetId="6">[1]PSV_GAS!$E$15</definedName>
    <definedName name="GAS_AREA" localSheetId="6">[1]PSV_GAS!$F$43</definedName>
    <definedName name="GAS_BACK_P" localSheetId="6">[1]PSV_GAS!$F$26</definedName>
    <definedName name="GAS_COMP" localSheetId="6">[1]PSV_GAS!#REF!</definedName>
    <definedName name="GAS_DP_LEAD" localSheetId="6">[1]PSV_GAS!$J$26</definedName>
    <definedName name="GAS_F_TYPE" localSheetId="6">[1]PSV_GAS!$F$54</definedName>
    <definedName name="GAS_FLOW" localSheetId="6">[1]PSV_GAS!#REF!</definedName>
    <definedName name="GAS_FLOW_REGIME" localSheetId="6">[1]PSV_GAS!$F$42</definedName>
    <definedName name="GAS_IN_OLD" localSheetId="6">[1]PSV_GAS!#REF!</definedName>
    <definedName name="GAS_INSTALL_AREA" localSheetId="6">[1]PSV_GAS!$I$48</definedName>
    <definedName name="GAS_INSTALL_RATED" localSheetId="6">[1]PSV_GAS!$I$50</definedName>
    <definedName name="GAS_K" localSheetId="6">[1]PSV_GAS!$F$32</definedName>
    <definedName name="GAS_K_N" localSheetId="6">[1]PSV_GAS!$F$38</definedName>
    <definedName name="GAS_K_SH" localSheetId="6">[1]PSV_GAS!$F$39</definedName>
    <definedName name="GAS_KB" localSheetId="6">[1]PSV_GAS!$F$36</definedName>
    <definedName name="GAS_KC" localSheetId="6">[1]PSV_GAS!$F$37</definedName>
    <definedName name="GAS_KD" localSheetId="6">[1]PSV_GAS!$F$28</definedName>
    <definedName name="GAS_MASS_FLOW" localSheetId="6">[1]PSV_GAS!$F$21</definedName>
    <definedName name="GAS_MET" localSheetId="6">[1]PSV_GAS!#REF!</definedName>
    <definedName name="GAS_MW" localSheetId="6">[1]PSV_GAS!$F$31</definedName>
    <definedName name="GAS_ORI_A" localSheetId="6">[1]PSV_GAS!$F$48</definedName>
    <definedName name="GAS_ORI_INSTALL" localSheetId="6">[1]PSV_GAS!$I$47</definedName>
    <definedName name="GAS_OUT_OLD" localSheetId="6">[1]PSV_GAS!#REF!</definedName>
    <definedName name="GAS_RATED" localSheetId="6">[1]PSV_GAS!$F$50</definedName>
    <definedName name="GAS_REL_P" localSheetId="6">[1]PSV_GAS!$F$25</definedName>
    <definedName name="GAS_SET_P" localSheetId="6">[1]PSV_GAS!$F$23</definedName>
    <definedName name="GAS_T_OPR" localSheetId="6">[1]PSV_GAS!$F$27</definedName>
    <definedName name="GAS_T_VENT" localSheetId="6">[1]PSV_GAS!$F$53</definedName>
    <definedName name="GAS_Z" localSheetId="6">[1]PSV_GAS!$F$33</definedName>
    <definedName name="GFC_ALLOWANCE">[1]PSV_GFC!$F$18</definedName>
    <definedName name="GFC_AREA">[1]PSV_GFC!$F$49</definedName>
    <definedName name="GFC_BACK_P">[1]PSV_GFC!$F$19</definedName>
    <definedName name="GFC_C">[1]PSV_GFC!$F$48</definedName>
    <definedName name="GFC_CALC_TYPE">[1]PSV_GFC!$F$38</definedName>
    <definedName name="GFC_DP_LEAD">[1]PSV_GFC!$J$19</definedName>
    <definedName name="GFC_ID">[1]PSV_GFC!$F$33</definedName>
    <definedName name="GFC_INSTALL_AREA">[1]PSV_GFC!$I$54</definedName>
    <definedName name="GFC_INSTALL_ORI">[1]PSV_GFC!$I$53</definedName>
    <definedName name="GFC_INSTALL_RATED">[1]PSV_GFC!$I$56</definedName>
    <definedName name="GFC_K">[1]PSV_GFC!$F$28</definedName>
    <definedName name="GFC_KB">[1]PSV_GFC!$F$46</definedName>
    <definedName name="GFC_KC">[1]PSV_GFC!$F$47</definedName>
    <definedName name="GFC_KD">[1]PSV_GFC!$F$20</definedName>
    <definedName name="GFC_LENGTH">[1]PSV_GFC!$F$34</definedName>
    <definedName name="GFC_MET">[1]PSV_GFC!$P$3</definedName>
    <definedName name="GFC_MW">[1]PSV_GFC!$F$27</definedName>
    <definedName name="GFC_ORI">[1]PSV_GFC!$F$53</definedName>
    <definedName name="GFC_ORI_A">[1]PSV_GFC!$F$54</definedName>
    <definedName name="GFC_P_OPR">[1]PSV_GFC!$F$24</definedName>
    <definedName name="GFC_RATED">[1]PSV_GFC!$F$56</definedName>
    <definedName name="GFC_REL_FLOW">[1]PSV_GFC!$F$50</definedName>
    <definedName name="GFC_REL_P">[1]PSV_GFC!$J$17</definedName>
    <definedName name="GFC_RELIEF_T_TYPE">[1]PSV_GFC!$F$42</definedName>
    <definedName name="GFC_SET_P">[1]PSV_GFC!$F$17</definedName>
    <definedName name="GFC_T_OPR">[1]PSV_GFC!$F$23</definedName>
    <definedName name="GFC_T_WALL">[1]PSV_GFC!$F$32</definedName>
    <definedName name="GFC_Z">[1]PSV_GFC!$F$29</definedName>
    <definedName name="hello" localSheetId="6" hidden="1">{#N/A,#N/A,FALSE,"cover";#N/A,#N/A,FALSE,"page_1";#N/A,#N/A,FALSE,"page_2";#N/A,#N/A,FALSE,"page_3";#N/A,#N/A,FALSE,"page_4"}</definedName>
    <definedName name="hello" hidden="1">{#N/A,#N/A,FALSE,"cover";#N/A,#N/A,FALSE,"page_1";#N/A,#N/A,FALSE,"page_2";#N/A,#N/A,FALSE,"page_3";#N/A,#N/A,FALSE,"page_4"}</definedName>
    <definedName name="HYRAM_COMPS" localSheetId="5">Blowdown!$M$14:$M$25</definedName>
    <definedName name="HYRAM_COMPS" localSheetId="4">'Confined overpressure'!$M$14:$M$25</definedName>
    <definedName name="HYRAM_COMPS" localSheetId="2">'Jet flame'!$M$14:$M$25</definedName>
    <definedName name="HYRAM_COMPS" localSheetId="1">'Unconfined overpressure'!$M$14:$M$25</definedName>
    <definedName name="HYRAM_COMPS">'Jet plume'!$M$14:$M$25</definedName>
    <definedName name="HYRAM_MOLEFRACS" localSheetId="5">Blowdown!$O$14:$O$25</definedName>
    <definedName name="HYRAM_MOLEFRACS" localSheetId="4">'Confined overpressure'!$O$14:$O$25</definedName>
    <definedName name="HYRAM_MOLEFRACS" localSheetId="2">'Jet flame'!$O$14:$O$25</definedName>
    <definedName name="HYRAM_MOLEFRACS" localSheetId="1">'Unconfined overpressure'!$O$14:$O$25</definedName>
    <definedName name="HYRAM_MOLEFRACS">'Jet plume'!$O$14:$O$25</definedName>
    <definedName name="INCLUDE_COMP">[1]PURE_COMPONENTS!$B$2:$B$24</definedName>
    <definedName name="INCLUDE_PSEUDO">[1]PSEUDO_COMPONENTS!$B$2:$B$21</definedName>
    <definedName name="LEAK_CD" localSheetId="5">Blowdown!$E$26</definedName>
    <definedName name="LEAK_CD" localSheetId="4">'Confined overpressure'!$E$26</definedName>
    <definedName name="LEAK_CD" localSheetId="2">'Jet flame'!$E$23</definedName>
    <definedName name="LEAK_CD" localSheetId="3">'Jet plume'!$E$23</definedName>
    <definedName name="LEAK_CD" localSheetId="1">'Unconfined overpressure'!$E$25</definedName>
    <definedName name="LEAK_DIAMETER" localSheetId="5">Blowdown!$E$22</definedName>
    <definedName name="LEAK_DIAMETER" localSheetId="4">'Confined overpressure'!$E$22</definedName>
    <definedName name="LEAK_DIAMETER" localSheetId="2">'Jet flame'!$E$21</definedName>
    <definedName name="LEAK_DIAMETER" localSheetId="3">'Jet plume'!$E$21</definedName>
    <definedName name="LEAK_DIAMETER" localSheetId="1">'Unconfined overpressure'!$E$23</definedName>
    <definedName name="LFL">'Jet plume'!$I$25</definedName>
    <definedName name="LH">[2]PSV_FCH!$G$37</definedName>
    <definedName name="LHE_ALFA">[1]PSV_LHE!$F$48</definedName>
    <definedName name="LHE_ALLOWANCE">[1]PSV_LHE!$F$22</definedName>
    <definedName name="LHE_AREA">[1]PSV_LHE!$F$38</definedName>
    <definedName name="LHE_BACK_P">[1]PSV_LHE!$F$23</definedName>
    <definedName name="LHE_CP">[1]PSV_LHE!$F$31</definedName>
    <definedName name="LHE_DP_LEAD">[1]PSV_LHE!$J$23</definedName>
    <definedName name="LHE_F">[1]PSV_LHE!$F$39</definedName>
    <definedName name="LHE_FF">[1]PSV_LHE!$E$18</definedName>
    <definedName name="LHE_HEAT">[1]PSV_LHE!$F$49</definedName>
    <definedName name="LHE_ID">[1]PSV_LHE!$F$36</definedName>
    <definedName name="LHE_INSTALL_AREA">[1]PSV_LHE!$I$57</definedName>
    <definedName name="LHE_INSTALL_ORI">[1]PSV_LHE!$I$56</definedName>
    <definedName name="LHE_INSTALL_RATED">[1]PSV_LHE!$I$59</definedName>
    <definedName name="LHE_K_W">[1]PSV_LHE!$F$43</definedName>
    <definedName name="LHE_KC">[1]PSV_LHE!$F$42</definedName>
    <definedName name="LHE_KD">[1]PSV_LHE!$F$25</definedName>
    <definedName name="LHE_KP">[1]PSV_LHE!$F$44</definedName>
    <definedName name="LHE_KV">[1]PSV_LHE!$F$45</definedName>
    <definedName name="LHE_LENGTH">[1]PSV_LHE!$F$37</definedName>
    <definedName name="LHE_LIQ_DEN">[1]PSV_LHE!$O$5</definedName>
    <definedName name="LHE_MAN_ALFA">[1]PSV_LHE!$J$48</definedName>
    <definedName name="LHE_MAN_HEAT">[1]PSV_LHE!$J$49</definedName>
    <definedName name="LHE_MET">[1]PSV_LHE!$O$2</definedName>
    <definedName name="LHE_MF">[1]PSV_LHE!$F$50</definedName>
    <definedName name="LHE_ORI">[1]PSV_LHE!$F$56</definedName>
    <definedName name="LHE_ORI_AREA">[1]PSV_LHE!$F$57</definedName>
    <definedName name="LHE_P_OPR">[1]PSV_LHE!$F$29</definedName>
    <definedName name="LHE_RATED">[1]PSV_LHE!$F$59</definedName>
    <definedName name="LHE_RE">[1]PSV_LHE!$F$51</definedName>
    <definedName name="LHE_REL_AREA">[1]PSV_LHE!$F$52</definedName>
    <definedName name="LHE_REL_P">[1]PSV_LHE!$J$21</definedName>
    <definedName name="LHE_RHO1">[1]PSV_LHE!$F$32</definedName>
    <definedName name="LHE_RHO2">[1]PSV_LHE!$F$33</definedName>
    <definedName name="LHE_SET_P">[1]PSV_LHE!$F$21</definedName>
    <definedName name="LHE_T_OPR">[1]PSV_LHE!$F$28</definedName>
    <definedName name="LHE_T_REL">[1]PSV_LHE!$F$24</definedName>
    <definedName name="LHE_TIME">[1]PSV_LHE!$F$53</definedName>
    <definedName name="LHE_VISC">[1]PSV_LHE!$F$30</definedName>
    <definedName name="LIQ_ALLOWANCE">[1]PSV_LIQUID!$F$24</definedName>
    <definedName name="LIQ_API_MET">[1]PSV_LIQUID!$F$16</definedName>
    <definedName name="LIQ_AREA">[1]PSV_LIQUID!$F$42</definedName>
    <definedName name="LIQ_DP_LEAD">[1]PSV_LIQUID!$J$26</definedName>
    <definedName name="LIQ_F_TYPE">[1]PSV_LIQUID!$F$53</definedName>
    <definedName name="LIQ_FLOW">[1]PSV_LIQUID!#REF!</definedName>
    <definedName name="LIQ_G">[1]PSV_LIQUID!$F$31</definedName>
    <definedName name="LIQ_INSTALL_AREA">[1]PSV_LIQUID!$I$47</definedName>
    <definedName name="LIQ_INSTALL_RATED">[1]PSV_LIQUID!$I$49</definedName>
    <definedName name="LIQ_KC">[1]PSV_LIQUID!$F$35</definedName>
    <definedName name="LIQ_KD">[1]PSV_LIQUID!$F$28</definedName>
    <definedName name="LIQ_KP">[1]PSV_LIQUID!$F$37</definedName>
    <definedName name="LIQ_KV">[1]PSV_LIQUID!$F$38</definedName>
    <definedName name="LIQ_KW">[1]PSV_LIQUID!$F$36</definedName>
    <definedName name="LIQ_MET">[1]PSV_LIQUID!#REF!</definedName>
    <definedName name="LIQ_ORI">[1]PSV_LIQUID!$F$46</definedName>
    <definedName name="LIQ_ORI_A">[1]PSV_LIQUID!$F$47</definedName>
    <definedName name="LIQ_ORI_INSTALL">[1]PSV_LIQUID!$I$46</definedName>
    <definedName name="LIQ_P_BACK">[1]PSV_LIQUID!$F$26</definedName>
    <definedName name="LIQ_RATED">[1]PSV_LIQUID!$F$49</definedName>
    <definedName name="LIQ_RE">[1]PSV_LIQUID!$F$41</definedName>
    <definedName name="LIQ_SET_P">[1]PSV_LIQUID!$F$23</definedName>
    <definedName name="LIQ_T_OPR">[1]PSV_LIQUID!$F$27</definedName>
    <definedName name="LIQ_T_VENT">[1]PSV_LIQUID!$F$52</definedName>
    <definedName name="LIQ_VIS">[1]PSV_LIQUID!$F$32</definedName>
    <definedName name="MAX_OVERPRESSURE">'Confined overpressure'!$I$29</definedName>
    <definedName name="MAX_TIME" localSheetId="5">Blowdown!$E$32</definedName>
    <definedName name="MAX_TIME">'Confined overpressure'!$E$32</definedName>
    <definedName name="NOZZLE_MODEL" localSheetId="4">'Confined overpressure'!$E$15</definedName>
    <definedName name="NOZZLE_MODEL" localSheetId="2">'Jet flame'!$E$15</definedName>
    <definedName name="NOZZLE_MODEL" localSheetId="3">'Jet plume'!$E$15</definedName>
    <definedName name="NOZZLE_MODEL" localSheetId="1">'Unconfined overpressure'!$E$15</definedName>
    <definedName name="Orifice_Name">[1]PSV_SUMMARY!$C$64:$C$79</definedName>
    <definedName name="Orifice_size">[1]PSV_SUMMARY!$D$64:$D$79</definedName>
    <definedName name="OVERP_IMPULSE">'Unconfined overpressure'!$I$23</definedName>
    <definedName name="OVERP_MASS">'Unconfined overpressure'!$I$24</definedName>
    <definedName name="OVERP_MASS_FLOW">'Unconfined overpressure'!$I$21</definedName>
    <definedName name="OVERP_PRESSURE">'Unconfined overpressure'!$I$22</definedName>
    <definedName name="OVERP_X">'Unconfined overpressure'!$E$28</definedName>
    <definedName name="OVERP_Y">'Unconfined overpressure'!$E$29</definedName>
    <definedName name="OVERP_Z">'Unconfined overpressure'!$E$30</definedName>
    <definedName name="PIogD">[1]FRONTPAGE!$A$6</definedName>
    <definedName name="POSITIONAL_FLUX">'Jet flame'!$I$20</definedName>
    <definedName name="_xlnm.Print_Area" localSheetId="5">Blowdown!$A$1:$K$113</definedName>
    <definedName name="_xlnm.Print_Area" localSheetId="4">'Confined overpressure'!$A$1:$K$217</definedName>
    <definedName name="_xlnm.Print_Area" localSheetId="2">'Jet flame'!$A$1:$K$120</definedName>
    <definedName name="_xlnm.Print_Area" localSheetId="3">'Jet plume'!$A$1:$K$64</definedName>
    <definedName name="_xlnm.Print_Area" localSheetId="1">'Unconfined overpressure'!$A$1:$K$119</definedName>
    <definedName name="_xlnm.Print_Titles" localSheetId="5">Blowdown!$1:$10</definedName>
    <definedName name="_xlnm.Print_Titles" localSheetId="4">'Confined overpressure'!$1:$10</definedName>
    <definedName name="_xlnm.Print_Titles" localSheetId="2">'Jet flame'!$1:$10</definedName>
    <definedName name="_xlnm.Print_Titles" localSheetId="3">'Jet plume'!$1:$10</definedName>
    <definedName name="_xlnm.Print_Titles" localSheetId="1">'Unconfined overpressure'!$1:$10</definedName>
    <definedName name="PSEUDO_NAMES">[1]PSEUDO_COMPONENTS!$A$2:$A$21</definedName>
    <definedName name="PSV_INSTALL_AREA">[1]PSV_SUMMARY!$K$40</definedName>
    <definedName name="PSV_INSTALL_ORIFICE">[1]PSV_SUMMARY!$K$37</definedName>
    <definedName name="PSV_TYPE">[1]PSV_SUMMARY!$G$35</definedName>
    <definedName name="RADIANT_FRAC">'Jet flame'!$I$23</definedName>
    <definedName name="RADIATION_X">'Jet flame'!$E$28</definedName>
    <definedName name="RADIATION_Y">'Jet flame'!$E$29</definedName>
    <definedName name="RADIATION_Z">'Jet flame'!$E$30</definedName>
    <definedName name="RADIATIVE_POWER">'Jet flame'!$I$21</definedName>
    <definedName name="REL_COMP" localSheetId="5">Blowdown!$E$16</definedName>
    <definedName name="REL_COMP" localSheetId="4">'Confined overpressure'!$E$16</definedName>
    <definedName name="REL_COMP" localSheetId="2">'Jet flame'!$E$16</definedName>
    <definedName name="REL_COMP" localSheetId="1">'Unconfined overpressure'!$E$16</definedName>
    <definedName name="REL_COMP">'Jet plume'!$E$16</definedName>
    <definedName name="REL_HEIGHT">'Confined overpressure'!$E$24</definedName>
    <definedName name="RELEASE_ANGLE" localSheetId="4">'Confined overpressure'!$E$23</definedName>
    <definedName name="RELEASE_ANGLE" localSheetId="2">'Jet flame'!$E$22</definedName>
    <definedName name="RELEASE_ANGLE" localSheetId="3">'Jet plume'!$E$22</definedName>
    <definedName name="RELEASE_ANGLE" localSheetId="1">'Unconfined overpressure'!$E$24</definedName>
    <definedName name="RES_MASS_FLOW" localSheetId="3">'Jet plume'!$I$19</definedName>
    <definedName name="RES_MAX_X" localSheetId="3">'Jet plume'!$I$22</definedName>
    <definedName name="RES_MAX_Y" localSheetId="3">'Jet plume'!$I$24</definedName>
    <definedName name="RES_MIN_X" localSheetId="3">'Jet plume'!$I$21</definedName>
    <definedName name="RES_MIN_Y" localSheetId="3">'Jet plume'!$I$23</definedName>
    <definedName name="RES_STREAM_LENGTH" localSheetId="3">'Jet plume'!$I$20</definedName>
    <definedName name="RIG_ALLOW">[1]PSV_HEM!$F$22</definedName>
    <definedName name="RIG_AREA">[1]PSV_HEM!$F$41</definedName>
    <definedName name="RIG_BI">[1]PSV_HEM!#REF!</definedName>
    <definedName name="RIG_COMP_OUTPUT">[1]PSV_HEM!#REF!</definedName>
    <definedName name="RIG_FLOW">[1]PSV_HEM!#REF!</definedName>
    <definedName name="RIG_G_MAX">[1]PSV_HEM!$F$30</definedName>
    <definedName name="RIG_GAS_FLOW1">[1]PSV_HEM!$F$50</definedName>
    <definedName name="RIG_KB">[1]PSV_HEM!$F$37</definedName>
    <definedName name="RIG_KC">[1]PSV_HEM!$F$38</definedName>
    <definedName name="RIG_KD">[1]PSV_HEM!$F$25</definedName>
    <definedName name="RIG_KV">[1]PSV_HEM!$F$39</definedName>
    <definedName name="RIG_LIQ_DEN">[1]PSV_HEM!#REF!</definedName>
    <definedName name="RIG_MET">[1]PSV_HEM!#REF!</definedName>
    <definedName name="RIG_MOLE_PCT">[1]PSV_HEM!#REF!</definedName>
    <definedName name="RIG_OIL_FLOW1">[1]PSV_HEM!$F$51</definedName>
    <definedName name="RIG_ORI">[1]PSV_HEM!$F$44</definedName>
    <definedName name="RIG_ORI_AREA">[1]PSV_HEM!$F$45</definedName>
    <definedName name="RIG_P_BACK">[1]PSV_HEM!$F$23</definedName>
    <definedName name="RIG_PCN">[1]PSV_HEM!#REF!</definedName>
    <definedName name="RIG_RATED">[1]PSV_HEM!$F$47</definedName>
    <definedName name="RIG_REL_P">[1]PSV_HEM!$F$21</definedName>
    <definedName name="RIG_REL_T">[1]PSV_HEM!$F$24</definedName>
    <definedName name="RIG_SET_P">[1]PSV_HEM!$F$20</definedName>
    <definedName name="RIG_THROAT_P">[1]PSV_HEM!$F$27</definedName>
    <definedName name="RIG_THROAT_T">[1]PSV_HEM!$F$28</definedName>
    <definedName name="RIG_VENT_T">[1]PSV_HEM!$F$49</definedName>
    <definedName name="RIG_WTR_FLOW1">[1]PSV_HEM!$F$52</definedName>
    <definedName name="sencount" hidden="1">1</definedName>
    <definedName name="STAG_PRES" localSheetId="5">Blowdown!$E$21</definedName>
    <definedName name="STAG_PRES" localSheetId="4">'Confined overpressure'!$E$21</definedName>
    <definedName name="STAG_PRES" localSheetId="2">'Jet flame'!$E$20</definedName>
    <definedName name="STAG_PRES" localSheetId="3">'Jet plume'!$E$20</definedName>
    <definedName name="STAG_PRES" localSheetId="1">'Unconfined overpressure'!$E$22</definedName>
    <definedName name="STAG_TEMP" localSheetId="5">Blowdown!$E$20</definedName>
    <definedName name="STAG_TEMP" localSheetId="4">'Confined overpressure'!$E$20</definedName>
    <definedName name="STAG_TEMP" localSheetId="2">'Jet flame'!$E$19</definedName>
    <definedName name="STAG_TEMP" localSheetId="3">'Jet plume'!$E$19</definedName>
    <definedName name="STAG_TEMP" localSheetId="1">'Unconfined overpressure'!$E$21</definedName>
    <definedName name="TANK_VOLUME" localSheetId="5">Blowdown!$E$25</definedName>
    <definedName name="TANK_VOLUME">'Confined overpressure'!$E$25</definedName>
    <definedName name="VENT_RATE" localSheetId="5">Blowdown!$I$26</definedName>
    <definedName name="VENT_RATE">'Confined overpressure'!$I$26</definedName>
    <definedName name="VISIBLE_LENGTH">'Jet flame'!$I$22</definedName>
    <definedName name="VMAX">'Jet plume'!$I$28</definedName>
    <definedName name="WIND_SPEED">'Jet flame'!$E$27</definedName>
    <definedName name="wrn.Calulation._.Sheets." localSheetId="6" hidden="1">{#N/A,#N/A,FALSE,"cover";#N/A,#N/A,FALSE,"page_1";#N/A,#N/A,FALSE,"page_2";#N/A,#N/A,FALSE,"page_3";#N/A,#N/A,FALSE,"page_4"}</definedName>
    <definedName name="wrn.Calulation._.Sheets." hidden="1">{#N/A,#N/A,FALSE,"cover";#N/A,#N/A,FALSE,"page_1";#N/A,#N/A,FALSE,"page_2";#N/A,#N/A,FALSE,"page_3";#N/A,#N/A,FALSE,"page_4"}</definedName>
    <definedName name="XMAX">'Jet plume'!$E$30</definedName>
    <definedName name="XMIN">'Jet plume'!$E$29</definedName>
    <definedName name="YMAX">'Jet plume'!$I$30</definedName>
    <definedName name="YMIN">'Jet plume'!$I$29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8" i="8" l="1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N26" i="8"/>
  <c r="O24" i="8" s="1"/>
  <c r="O25" i="8"/>
  <c r="D9" i="8"/>
  <c r="D8" i="8"/>
  <c r="D7" i="8"/>
  <c r="A3" i="8"/>
  <c r="B58" i="6"/>
  <c r="M58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N26" i="6"/>
  <c r="O18" i="6" s="1"/>
  <c r="O25" i="6"/>
  <c r="O24" i="6"/>
  <c r="O23" i="6"/>
  <c r="O22" i="6"/>
  <c r="O21" i="6"/>
  <c r="O20" i="6"/>
  <c r="O19" i="6"/>
  <c r="D9" i="6"/>
  <c r="D8" i="6"/>
  <c r="D7" i="6"/>
  <c r="A3" i="6"/>
  <c r="M58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N26" i="5"/>
  <c r="O19" i="5" s="1"/>
  <c r="O25" i="5"/>
  <c r="O24" i="5"/>
  <c r="O23" i="5"/>
  <c r="O22" i="5"/>
  <c r="O21" i="5"/>
  <c r="O20" i="5"/>
  <c r="O18" i="5"/>
  <c r="D9" i="5"/>
  <c r="D8" i="5"/>
  <c r="D7" i="5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N26" i="4"/>
  <c r="O20" i="4" s="1"/>
  <c r="O25" i="4"/>
  <c r="O24" i="4"/>
  <c r="D9" i="4"/>
  <c r="D8" i="4"/>
  <c r="D7" i="4"/>
  <c r="N26" i="3"/>
  <c r="O19" i="3" s="1"/>
  <c r="A122" i="3"/>
  <c r="M58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D9" i="3"/>
  <c r="D8" i="3"/>
  <c r="D7" i="3"/>
  <c r="A3" i="3"/>
  <c r="O20" i="8" l="1"/>
  <c r="O14" i="8"/>
  <c r="O15" i="8"/>
  <c r="O16" i="8"/>
  <c r="O17" i="8"/>
  <c r="O18" i="8"/>
  <c r="O19" i="8"/>
  <c r="O21" i="8"/>
  <c r="O22" i="8"/>
  <c r="O23" i="8"/>
  <c r="O26" i="8"/>
  <c r="O18" i="3"/>
  <c r="O17" i="3"/>
  <c r="O16" i="3"/>
  <c r="O15" i="3"/>
  <c r="O14" i="6"/>
  <c r="O15" i="6"/>
  <c r="O16" i="6"/>
  <c r="O17" i="6"/>
  <c r="O21" i="4"/>
  <c r="O22" i="4"/>
  <c r="O23" i="4"/>
  <c r="B58" i="5"/>
  <c r="B56" i="5"/>
  <c r="O14" i="5"/>
  <c r="O15" i="5"/>
  <c r="O16" i="5"/>
  <c r="O17" i="5"/>
  <c r="B56" i="4"/>
  <c r="O21" i="3"/>
  <c r="O24" i="3"/>
  <c r="O20" i="3"/>
  <c r="O14" i="3"/>
  <c r="O25" i="3"/>
  <c r="O23" i="3"/>
  <c r="O22" i="3"/>
  <c r="O15" i="4"/>
  <c r="O17" i="4"/>
  <c r="O18" i="4"/>
  <c r="B58" i="3"/>
  <c r="O14" i="4"/>
  <c r="O16" i="4"/>
  <c r="O19" i="4"/>
  <c r="O26" i="6" l="1"/>
  <c r="O26" i="5"/>
  <c r="O26" i="3"/>
  <c r="O26" i="4"/>
</calcChain>
</file>

<file path=xl/sharedStrings.xml><?xml version="1.0" encoding="utf-8"?>
<sst xmlns="http://schemas.openxmlformats.org/spreadsheetml/2006/main" count="432" uniqueCount="170">
  <si>
    <t>GAS_MOLE_PCT</t>
  </si>
  <si>
    <t>Project:</t>
  </si>
  <si>
    <t>Subject:</t>
  </si>
  <si>
    <t>Tag No.</t>
  </si>
  <si>
    <t>Ref. drawing</t>
  </si>
  <si>
    <t>Equipment</t>
  </si>
  <si>
    <t>PURE COMPONENTS</t>
  </si>
  <si>
    <t>Calculation set-up:</t>
  </si>
  <si>
    <t>Input parameters:</t>
  </si>
  <si>
    <t>ΔP : Lead pipe</t>
  </si>
  <si>
    <t xml:space="preserve"> [bar]</t>
  </si>
  <si>
    <t xml:space="preserve"> (°C)</t>
  </si>
  <si>
    <t>N/A</t>
  </si>
  <si>
    <t>Interpreter_Win</t>
  </si>
  <si>
    <t>python</t>
  </si>
  <si>
    <t>Interpreter_Mac</t>
  </si>
  <si>
    <t>PYTHONPATH</t>
  </si>
  <si>
    <t>&lt;--- Enter module location if no package installed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</si>
  <si>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</si>
  <si>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</si>
  <si>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</si>
  <si>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</si>
  <si>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</si>
  <si>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</si>
  <si>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</si>
  <si>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</si>
  <si>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</si>
  <si>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</si>
  <si>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</si>
  <si>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Nozzle model</t>
  </si>
  <si>
    <t>Stagnation temperature</t>
  </si>
  <si>
    <t>Stagnation pressure</t>
  </si>
  <si>
    <t>Leak diameter</t>
  </si>
  <si>
    <t>(mm)</t>
  </si>
  <si>
    <t>(bar)</t>
  </si>
  <si>
    <t>Ambient temperature</t>
  </si>
  <si>
    <t>Ambient pressure</t>
  </si>
  <si>
    <t>Calculation performed using HYRAM+ models</t>
  </si>
  <si>
    <t>Realease fluid</t>
  </si>
  <si>
    <t>H2</t>
  </si>
  <si>
    <t>N2</t>
  </si>
  <si>
    <t>CH4</t>
  </si>
  <si>
    <t>C3H8</t>
  </si>
  <si>
    <t>C2H6</t>
  </si>
  <si>
    <t>n-Butane</t>
  </si>
  <si>
    <t>IsoButane</t>
  </si>
  <si>
    <t>n-Pentane</t>
  </si>
  <si>
    <t>IsoPentane</t>
  </si>
  <si>
    <t>n-Heaxane</t>
  </si>
  <si>
    <t>CarbonDioxide</t>
  </si>
  <si>
    <t>CarbonMonoxide</t>
  </si>
  <si>
    <t>mixture</t>
  </si>
  <si>
    <r>
      <t>Realease angle (0</t>
    </r>
    <r>
      <rPr>
        <sz val="8"/>
        <rFont val="Aptos Narrow"/>
        <family val="2"/>
      </rPr>
      <t>°</t>
    </r>
    <r>
      <rPr>
        <sz val="8"/>
        <rFont val="Arial"/>
        <family val="2"/>
      </rPr>
      <t xml:space="preserve"> = horizontal)</t>
    </r>
  </si>
  <si>
    <r>
      <t>(</t>
    </r>
    <r>
      <rPr>
        <sz val="8"/>
        <rFont val="Aptos Narrow"/>
        <family val="2"/>
      </rPr>
      <t>°</t>
    </r>
    <r>
      <rPr>
        <sz val="8"/>
        <rFont val="Arial"/>
        <family val="2"/>
      </rPr>
      <t>)</t>
    </r>
  </si>
  <si>
    <t>Ambient humidity</t>
  </si>
  <si>
    <t>YuceilOtugen</t>
  </si>
  <si>
    <t>EwanMoodie</t>
  </si>
  <si>
    <t>Birch</t>
  </si>
  <si>
    <t>Birch2</t>
  </si>
  <si>
    <t>Molkov</t>
  </si>
  <si>
    <t>Discharge coefficient (Cd)</t>
  </si>
  <si>
    <t>(--)</t>
  </si>
  <si>
    <t>Results</t>
  </si>
  <si>
    <t>Mass flow</t>
  </si>
  <si>
    <t>Stremline length</t>
  </si>
  <si>
    <t>Min. horizontal distance</t>
  </si>
  <si>
    <t>Max. horisontal distance</t>
  </si>
  <si>
    <t>Min. vertical disance</t>
  </si>
  <si>
    <t>Max. vertical distance</t>
  </si>
  <si>
    <t>(kg/s)</t>
  </si>
  <si>
    <t>(m)</t>
  </si>
  <si>
    <t>Mole frac</t>
  </si>
  <si>
    <t>Mole percentage</t>
  </si>
  <si>
    <t>SUM</t>
  </si>
  <si>
    <t>LFL (mole fraction)</t>
  </si>
  <si>
    <t>Jet Plume</t>
  </si>
  <si>
    <t>Jet Flame</t>
  </si>
  <si>
    <t>Wind speed</t>
  </si>
  <si>
    <t xml:space="preserve">x-position for flux </t>
  </si>
  <si>
    <t>y-positition for flux</t>
  </si>
  <si>
    <t>z-position for flux</t>
  </si>
  <si>
    <t>(m/s)</t>
  </si>
  <si>
    <t>(rel.)</t>
  </si>
  <si>
    <t>Positional flux</t>
  </si>
  <si>
    <t>(W/m2)</t>
  </si>
  <si>
    <t>Total radiative power</t>
  </si>
  <si>
    <t>Visible length</t>
  </si>
  <si>
    <t>Radiant fraction</t>
  </si>
  <si>
    <t>(kW)</t>
  </si>
  <si>
    <t>Calculation method</t>
  </si>
  <si>
    <t>Mach flame speed (BST only)</t>
  </si>
  <si>
    <t>BST</t>
  </si>
  <si>
    <t>TNT</t>
  </si>
  <si>
    <t>Bauwens</t>
  </si>
  <si>
    <t>Positional overpressure</t>
  </si>
  <si>
    <t>Positional impulse</t>
  </si>
  <si>
    <t>(kg)</t>
  </si>
  <si>
    <t>(kPa)</t>
  </si>
  <si>
    <t>Unconfined overpressure</t>
  </si>
  <si>
    <t>x-position</t>
  </si>
  <si>
    <t>y-position</t>
  </si>
  <si>
    <t>z-position</t>
  </si>
  <si>
    <t>(kPa s)</t>
  </si>
  <si>
    <t>Det./Flammable mass</t>
  </si>
  <si>
    <t xml:space="preserve">Release height </t>
  </si>
  <si>
    <t>(m3)</t>
  </si>
  <si>
    <t>NO</t>
  </si>
  <si>
    <t>YES</t>
  </si>
  <si>
    <t xml:space="preserve">Include blowdown? </t>
  </si>
  <si>
    <t>Tank volume (blowdown)</t>
  </si>
  <si>
    <t>Enclosure height</t>
  </si>
  <si>
    <t>Floor/ceil area</t>
  </si>
  <si>
    <t>Distance from release to wall</t>
  </si>
  <si>
    <t>Ceiling vent area</t>
  </si>
  <si>
    <t>Ceiling vent height</t>
  </si>
  <si>
    <t>Floor vent area</t>
  </si>
  <si>
    <t>Floor vent height</t>
  </si>
  <si>
    <t>x-position release</t>
  </si>
  <si>
    <t>y-position release</t>
  </si>
  <si>
    <t>(m2)</t>
  </si>
  <si>
    <t xml:space="preserve">Vent rate </t>
  </si>
  <si>
    <t>(m3/s)</t>
  </si>
  <si>
    <t xml:space="preserve">Simulation time </t>
  </si>
  <si>
    <t>(s)</t>
  </si>
  <si>
    <t>Blow-down results</t>
  </si>
  <si>
    <t>Max. overpressure</t>
  </si>
  <si>
    <t>bar</t>
  </si>
  <si>
    <t>Mole fraction contout</t>
  </si>
  <si>
    <t>Plot xmin</t>
  </si>
  <si>
    <t>Plot xmax</t>
  </si>
  <si>
    <t>Plot ymin</t>
  </si>
  <si>
    <t>Plot ymax</t>
  </si>
  <si>
    <t xml:space="preserve"> (m)</t>
  </si>
  <si>
    <t xml:space="preserve"> (--)</t>
  </si>
  <si>
    <t xml:space="preserve"> (bar)</t>
  </si>
  <si>
    <t xml:space="preserve"> (mm)</t>
  </si>
  <si>
    <r>
      <t xml:space="preserve"> (</t>
    </r>
    <r>
      <rPr>
        <sz val="8"/>
        <rFont val="Aptos Narrow"/>
        <family val="2"/>
      </rPr>
      <t>°</t>
    </r>
    <r>
      <rPr>
        <sz val="8"/>
        <rFont val="Arial"/>
        <family val="2"/>
      </rPr>
      <t>)</t>
    </r>
  </si>
  <si>
    <t xml:space="preserve"> (kg/s)</t>
  </si>
  <si>
    <t>Max mole fraction</t>
  </si>
  <si>
    <t>Background</t>
  </si>
  <si>
    <t>This is an excel interface to physical models of the HYRAM+ tool made by Sandia Labs</t>
  </si>
  <si>
    <t xml:space="preserve">The same calculations can be accessed via the HYRAM+ gui program available from </t>
  </si>
  <si>
    <t>HyRAM+ – Energy</t>
  </si>
  <si>
    <t>Installation</t>
  </si>
  <si>
    <t>The HYRAM+ physical models are implemented in python</t>
  </si>
  <si>
    <t xml:space="preserve">A fork of  the official code has been made, correcting a few issues related to installation and dependencies </t>
  </si>
  <si>
    <t>as well as adding code to connect the input/output from/to Excel and python.</t>
  </si>
  <si>
    <t>A python installation is requried. Install Python 3.11 via the Microsoft Software store.</t>
  </si>
  <si>
    <t>Install the ORS fork of HYRAM+ via a Terminal:</t>
  </si>
  <si>
    <t>- Open a command prompt (pres Windows key + X, then choose “terminal” or just pres ”i”)</t>
  </si>
  <si>
    <t>- in the open terminal copy the following command and pres return:</t>
  </si>
  <si>
    <t>pip install git+https://github.com/andr1976/ORS-hyram.git</t>
  </si>
  <si>
    <t>The following models have been interfaced:</t>
  </si>
  <si>
    <t>- Jet plume model</t>
  </si>
  <si>
    <t>- Jet flame (radiation) model</t>
  </si>
  <si>
    <t>- Unconfined overpressure</t>
  </si>
  <si>
    <t>- Confined overpressure</t>
  </si>
  <si>
    <t>Please note that this is NOT an endorsement/validation of the HYRAM+ physical models, although they appear to be sound and</t>
  </si>
  <si>
    <t>of decent quality.</t>
  </si>
  <si>
    <t>Instructions</t>
  </si>
  <si>
    <t xml:space="preserve">Examples with necessary input for the different calculations have been made. </t>
  </si>
  <si>
    <t>Different fluids can be analysed. While intended for hydrogen, other fluids such as methane, propane and mixtures</t>
  </si>
  <si>
    <t>can be analysed.</t>
  </si>
  <si>
    <t>More information on the interfaced models can be found at</t>
  </si>
  <si>
    <t>- Model validation https://www.osti.gov/servlets/purl/2480221/</t>
  </si>
  <si>
    <t>- Reference manual https://www.osti.gov/servlets/purl/2369637/</t>
  </si>
  <si>
    <t>- User guide https://www.osti.gov/servlets/purl/2369638/</t>
  </si>
  <si>
    <t>Then ORS HYRAM should ready for usage.</t>
  </si>
  <si>
    <t>In order to ensure the latest revision of the code is used, the following command updates the code</t>
  </si>
  <si>
    <t>pip install -U git+https://github.com/andr1976/ORS-hyram.git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</si>
</sst>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\-00\-00"/>
    <numFmt numFmtId="165" formatCode="0.000"/>
    <numFmt numFmtId="166" formatCode="0.0000"/>
    <numFmt numFmtId="167" formatCode="0.0"/>
    <numFmt numFmtId="168" formatCode="0.00000"/>
    <numFmt numFmtId="169" formatCode="#,##0.0"/>
  </numFmts>
  <fonts count="22" x14ac:knownFonts="1"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sz val="8"/>
      <name val="Arial"/>
      <family val="2"/>
    </font>
    <font>
      <sz val="10"/>
      <name val="Helv"/>
    </font>
    <font>
      <b/>
      <sz val="10"/>
      <name val="Arial"/>
      <family val="2"/>
    </font>
    <font>
      <sz val="9"/>
      <name val="Arial"/>
      <family val="2"/>
    </font>
    <font>
      <b/>
      <u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56"/>
      <name val="Arial"/>
      <family val="2"/>
    </font>
    <font>
      <sz val="8"/>
      <color indexed="56"/>
      <name val="Arial"/>
      <family val="2"/>
    </font>
    <font>
      <sz val="8"/>
      <color indexed="10"/>
      <name val="Arial"/>
      <family val="2"/>
    </font>
    <font>
      <sz val="6"/>
      <name val="Arial"/>
      <family val="2"/>
    </font>
    <font>
      <b/>
      <i/>
      <sz val="8"/>
      <name val="Arial"/>
      <family val="2"/>
    </font>
    <font>
      <sz val="8"/>
      <name val="Verdana"/>
      <family val="2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</font>
    <font>
      <u/>
      <sz val="10"/>
      <color theme="10"/>
      <name val="Arial"/>
      <family val="2"/>
    </font>
    <font>
      <sz val="1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6" fillId="0" borderId="0"/>
    <xf numFmtId="0" fontId="6" fillId="0" borderId="0"/>
    <xf numFmtId="0" fontId="17" fillId="0" borderId="0"/>
    <xf numFmtId="0" fontId="20" fillId="0" borderId="0" applyNumberFormat="0" applyFill="0" applyBorder="0" applyAlignment="0" applyProtection="0"/>
  </cellStyleXfs>
  <cellXfs count="197">
    <xf numFmtId="0" fontId="0" fillId="0" borderId="0" xfId="0"/>
    <xf numFmtId="0" fontId="3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5" fillId="0" borderId="0" xfId="0" applyFont="1"/>
    <xf numFmtId="0" fontId="2" fillId="0" borderId="0" xfId="1" applyFont="1" applyAlignment="1">
      <alignment vertical="center"/>
    </xf>
    <xf numFmtId="0" fontId="2" fillId="0" borderId="0" xfId="1" applyFont="1" applyAlignment="1" applyProtection="1">
      <alignment vertical="center"/>
      <protection locked="0"/>
    </xf>
    <xf numFmtId="0" fontId="5" fillId="0" borderId="4" xfId="1" applyFont="1" applyBorder="1" applyAlignment="1">
      <alignment horizontal="left" vertical="center"/>
    </xf>
    <xf numFmtId="0" fontId="5" fillId="0" borderId="5" xfId="1" applyFont="1" applyBorder="1" applyAlignment="1">
      <alignment vertical="center"/>
    </xf>
    <xf numFmtId="0" fontId="3" fillId="0" borderId="5" xfId="1" applyFont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horizontal="center" vertical="center"/>
      <protection locked="0"/>
    </xf>
    <xf numFmtId="1" fontId="2" fillId="0" borderId="5" xfId="1" applyNumberFormat="1" applyFont="1" applyBorder="1" applyAlignment="1" applyProtection="1">
      <alignment horizontal="center" vertical="center"/>
      <protection locked="0"/>
    </xf>
    <xf numFmtId="164" fontId="2" fillId="0" borderId="5" xfId="1" applyNumberFormat="1" applyFont="1" applyBorder="1" applyAlignment="1" applyProtection="1">
      <alignment horizontal="center" vertical="center"/>
      <protection locked="0"/>
    </xf>
    <xf numFmtId="1" fontId="2" fillId="0" borderId="6" xfId="1" applyNumberFormat="1" applyFont="1" applyBorder="1" applyAlignment="1" applyProtection="1">
      <alignment horizontal="center" vertical="center"/>
      <protection locked="0"/>
    </xf>
    <xf numFmtId="0" fontId="5" fillId="0" borderId="0" xfId="1" applyFont="1" applyAlignment="1">
      <alignment vertical="center"/>
    </xf>
    <xf numFmtId="0" fontId="3" fillId="0" borderId="0" xfId="0" applyFont="1"/>
    <xf numFmtId="0" fontId="5" fillId="0" borderId="0" xfId="1" applyFont="1" applyAlignment="1" applyProtection="1">
      <alignment vertical="center"/>
      <protection locked="0"/>
    </xf>
    <xf numFmtId="1" fontId="2" fillId="0" borderId="8" xfId="1" applyNumberFormat="1" applyFont="1" applyBorder="1" applyAlignment="1" applyProtection="1">
      <alignment horizontal="center" vertical="center"/>
      <protection locked="0"/>
    </xf>
    <xf numFmtId="1" fontId="2" fillId="0" borderId="9" xfId="1" applyNumberFormat="1" applyFon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vertical="center"/>
      <protection locked="0"/>
    </xf>
    <xf numFmtId="0" fontId="7" fillId="0" borderId="7" xfId="1" applyFont="1" applyBorder="1" applyAlignment="1">
      <alignment horizontal="left" vertical="center"/>
    </xf>
    <xf numFmtId="0" fontId="2" fillId="0" borderId="8" xfId="1" applyFont="1" applyBorder="1" applyAlignment="1">
      <alignment vertical="center"/>
    </xf>
    <xf numFmtId="0" fontId="7" fillId="0" borderId="8" xfId="1" applyFont="1" applyBorder="1" applyAlignment="1">
      <alignment vertical="center"/>
    </xf>
    <xf numFmtId="0" fontId="2" fillId="0" borderId="9" xfId="1" applyFont="1" applyBorder="1" applyAlignment="1">
      <alignment vertical="center"/>
    </xf>
    <xf numFmtId="0" fontId="5" fillId="0" borderId="11" xfId="1" applyFont="1" applyBorder="1" applyAlignment="1">
      <alignment horizontal="center" vertical="center"/>
    </xf>
    <xf numFmtId="0" fontId="5" fillId="0" borderId="0" xfId="1" applyFont="1" applyAlignment="1">
      <alignment horizontal="right" vertical="center"/>
    </xf>
    <xf numFmtId="0" fontId="5" fillId="0" borderId="10" xfId="1" applyFont="1" applyBorder="1" applyAlignment="1">
      <alignment vertical="center"/>
    </xf>
    <xf numFmtId="0" fontId="8" fillId="0" borderId="0" xfId="1" applyFont="1" applyAlignment="1">
      <alignment vertical="center"/>
    </xf>
    <xf numFmtId="165" fontId="5" fillId="0" borderId="0" xfId="0" applyNumberFormat="1" applyFont="1"/>
    <xf numFmtId="11" fontId="5" fillId="0" borderId="0" xfId="0" applyNumberFormat="1" applyFont="1"/>
    <xf numFmtId="0" fontId="8" fillId="0" borderId="0" xfId="1" applyFont="1" applyAlignment="1" applyProtection="1">
      <alignment vertical="center"/>
      <protection locked="0"/>
    </xf>
    <xf numFmtId="0" fontId="3" fillId="0" borderId="0" xfId="1" quotePrefix="1" applyFont="1" applyAlignment="1">
      <alignment horizontal="left" vertical="center"/>
    </xf>
    <xf numFmtId="0" fontId="3" fillId="0" borderId="0" xfId="1" applyFont="1" applyAlignment="1">
      <alignment vertical="center"/>
    </xf>
    <xf numFmtId="0" fontId="3" fillId="0" borderId="1" xfId="1" applyFont="1" applyBorder="1" applyAlignment="1">
      <alignment vertical="center"/>
    </xf>
    <xf numFmtId="0" fontId="5" fillId="0" borderId="2" xfId="1" applyFont="1" applyBorder="1" applyAlignment="1" applyProtection="1">
      <alignment vertical="center"/>
      <protection locked="0"/>
    </xf>
    <xf numFmtId="0" fontId="5" fillId="0" borderId="2" xfId="1" applyFont="1" applyBorder="1" applyAlignment="1">
      <alignment vertical="center"/>
    </xf>
    <xf numFmtId="0" fontId="5" fillId="0" borderId="3" xfId="1" applyFont="1" applyBorder="1" applyAlignment="1" applyProtection="1">
      <alignment vertical="center"/>
      <protection locked="0"/>
    </xf>
    <xf numFmtId="0" fontId="3" fillId="0" borderId="7" xfId="1" applyFont="1" applyBorder="1" applyAlignment="1">
      <alignment vertical="center"/>
    </xf>
    <xf numFmtId="0" fontId="5" fillId="0" borderId="3" xfId="1" applyFont="1" applyBorder="1" applyAlignment="1">
      <alignment vertical="center"/>
    </xf>
    <xf numFmtId="0" fontId="5" fillId="0" borderId="7" xfId="1" applyFont="1" applyBorder="1" applyAlignment="1">
      <alignment horizontal="center" vertical="center"/>
    </xf>
    <xf numFmtId="0" fontId="5" fillId="0" borderId="8" xfId="1" applyFont="1" applyBorder="1" applyAlignment="1">
      <alignment vertical="center"/>
    </xf>
    <xf numFmtId="0" fontId="5" fillId="0" borderId="9" xfId="1" applyFont="1" applyBorder="1" applyAlignment="1">
      <alignment vertical="center"/>
    </xf>
    <xf numFmtId="0" fontId="5" fillId="0" borderId="4" xfId="1" applyFont="1" applyBorder="1" applyAlignment="1">
      <alignment horizontal="center" vertical="center"/>
    </xf>
    <xf numFmtId="0" fontId="5" fillId="0" borderId="6" xfId="1" applyFont="1" applyBorder="1" applyAlignment="1">
      <alignment vertical="center"/>
    </xf>
    <xf numFmtId="0" fontId="3" fillId="0" borderId="12" xfId="0" applyFont="1" applyBorder="1" applyAlignment="1">
      <alignment horizontal="center"/>
    </xf>
    <xf numFmtId="0" fontId="5" fillId="0" borderId="0" xfId="1" applyFont="1" applyAlignment="1">
      <alignment vertical="center" wrapText="1"/>
    </xf>
    <xf numFmtId="0" fontId="3" fillId="0" borderId="1" xfId="0" applyFont="1" applyBorder="1" applyAlignment="1">
      <alignment wrapText="1"/>
    </xf>
    <xf numFmtId="0" fontId="3" fillId="0" borderId="12" xfId="0" applyFont="1" applyBorder="1"/>
    <xf numFmtId="0" fontId="3" fillId="0" borderId="1" xfId="0" applyFont="1" applyBorder="1" applyAlignment="1">
      <alignment vertical="top"/>
    </xf>
    <xf numFmtId="0" fontId="3" fillId="0" borderId="12" xfId="0" applyFont="1" applyBorder="1" applyAlignment="1">
      <alignment vertical="top"/>
    </xf>
    <xf numFmtId="0" fontId="5" fillId="2" borderId="13" xfId="1" applyFont="1" applyFill="1" applyBorder="1" applyAlignment="1" applyProtection="1">
      <alignment vertical="center"/>
      <protection locked="0"/>
    </xf>
    <xf numFmtId="166" fontId="5" fillId="0" borderId="0" xfId="0" applyNumberFormat="1" applyFont="1"/>
    <xf numFmtId="0" fontId="5" fillId="0" borderId="0" xfId="0" applyFont="1" applyProtection="1">
      <protection locked="0"/>
    </xf>
    <xf numFmtId="0" fontId="5" fillId="2" borderId="14" xfId="1" applyFont="1" applyFill="1" applyBorder="1" applyAlignment="1" applyProtection="1">
      <alignment vertical="center"/>
      <protection locked="0"/>
    </xf>
    <xf numFmtId="0" fontId="5" fillId="0" borderId="0" xfId="1" applyFont="1" applyAlignment="1">
      <alignment horizontal="left" vertical="center"/>
    </xf>
    <xf numFmtId="167" fontId="5" fillId="0" borderId="0" xfId="1" applyNumberFormat="1" applyFont="1" applyAlignment="1">
      <alignment vertical="center"/>
    </xf>
    <xf numFmtId="0" fontId="3" fillId="0" borderId="0" xfId="1" applyFont="1" applyAlignment="1">
      <alignment horizontal="left" vertical="center"/>
    </xf>
    <xf numFmtId="167" fontId="5" fillId="2" borderId="12" xfId="1" applyNumberFormat="1" applyFont="1" applyFill="1" applyBorder="1" applyAlignment="1" applyProtection="1">
      <alignment horizontal="right" vertical="center"/>
      <protection locked="0"/>
    </xf>
    <xf numFmtId="0" fontId="5" fillId="0" borderId="0" xfId="1" applyFont="1" applyAlignment="1">
      <alignment horizontal="center" vertical="center"/>
    </xf>
    <xf numFmtId="0" fontId="5" fillId="0" borderId="10" xfId="1" applyFont="1" applyBorder="1" applyAlignment="1">
      <alignment horizontal="left" vertical="center"/>
    </xf>
    <xf numFmtId="0" fontId="3" fillId="0" borderId="0" xfId="0" applyFont="1" applyAlignment="1">
      <alignment vertical="top" wrapText="1"/>
    </xf>
    <xf numFmtId="1" fontId="5" fillId="0" borderId="0" xfId="1" applyNumberFormat="1" applyFont="1" applyAlignment="1">
      <alignment vertical="center"/>
    </xf>
    <xf numFmtId="166" fontId="5" fillId="0" borderId="0" xfId="0" quotePrefix="1" applyNumberFormat="1" applyFont="1"/>
    <xf numFmtId="167" fontId="5" fillId="0" borderId="0" xfId="1" applyNumberFormat="1" applyFont="1" applyAlignment="1" applyProtection="1">
      <alignment vertical="center"/>
      <protection locked="0"/>
    </xf>
    <xf numFmtId="0" fontId="5" fillId="0" borderId="0" xfId="1" applyFont="1" applyAlignment="1" applyProtection="1">
      <alignment horizontal="right" vertical="center"/>
      <protection locked="0"/>
    </xf>
    <xf numFmtId="0" fontId="9" fillId="0" borderId="0" xfId="1" applyFont="1" applyAlignment="1">
      <alignment horizontal="left" vertical="center"/>
    </xf>
    <xf numFmtId="0" fontId="5" fillId="0" borderId="0" xfId="1" quotePrefix="1" applyFont="1" applyAlignment="1">
      <alignment horizontal="left" vertical="center"/>
    </xf>
    <xf numFmtId="0" fontId="5" fillId="0" borderId="11" xfId="1" applyFont="1" applyBorder="1" applyAlignment="1">
      <alignment vertical="center"/>
    </xf>
    <xf numFmtId="167" fontId="5" fillId="2" borderId="12" xfId="1" applyNumberFormat="1" applyFont="1" applyFill="1" applyBorder="1" applyAlignment="1" applyProtection="1">
      <alignment vertical="center"/>
      <protection locked="0"/>
    </xf>
    <xf numFmtId="165" fontId="5" fillId="0" borderId="0" xfId="1" applyNumberFormat="1" applyFont="1" applyAlignment="1">
      <alignment vertical="center"/>
    </xf>
    <xf numFmtId="165" fontId="5" fillId="3" borderId="12" xfId="1" applyNumberFormat="1" applyFont="1" applyFill="1" applyBorder="1" applyAlignment="1" applyProtection="1">
      <alignment horizontal="right" vertical="center"/>
      <protection locked="0"/>
    </xf>
    <xf numFmtId="165" fontId="5" fillId="0" borderId="0" xfId="1" applyNumberFormat="1" applyFont="1" applyAlignment="1" applyProtection="1">
      <alignment vertical="center"/>
      <protection locked="0"/>
    </xf>
    <xf numFmtId="0" fontId="5" fillId="0" borderId="0" xfId="1" quotePrefix="1" applyFont="1" applyAlignment="1">
      <alignment vertical="center"/>
    </xf>
    <xf numFmtId="166" fontId="5" fillId="0" borderId="0" xfId="1" applyNumberFormat="1" applyFont="1" applyAlignment="1">
      <alignment vertical="center"/>
    </xf>
    <xf numFmtId="0" fontId="5" fillId="0" borderId="0" xfId="1" quotePrefix="1" applyFont="1" applyAlignment="1">
      <alignment horizontal="center" vertical="center"/>
    </xf>
    <xf numFmtId="2" fontId="5" fillId="0" borderId="0" xfId="1" applyNumberFormat="1" applyFont="1" applyAlignment="1">
      <alignment vertical="center"/>
    </xf>
    <xf numFmtId="1" fontId="5" fillId="0" borderId="0" xfId="1" applyNumberFormat="1" applyFont="1" applyAlignment="1">
      <alignment horizontal="right" vertical="center"/>
    </xf>
    <xf numFmtId="165" fontId="5" fillId="0" borderId="0" xfId="1" applyNumberFormat="1" applyFont="1" applyAlignment="1">
      <alignment horizontal="left" vertical="center"/>
    </xf>
    <xf numFmtId="2" fontId="3" fillId="0" borderId="0" xfId="0" applyNumberFormat="1" applyFont="1"/>
    <xf numFmtId="165" fontId="5" fillId="0" borderId="0" xfId="1" applyNumberFormat="1" applyFont="1" applyAlignment="1">
      <alignment horizontal="right" vertical="center"/>
    </xf>
    <xf numFmtId="0" fontId="11" fillId="0" borderId="0" xfId="1" applyFont="1" applyAlignment="1">
      <alignment vertical="center" wrapText="1"/>
    </xf>
    <xf numFmtId="0" fontId="12" fillId="0" borderId="0" xfId="1" applyFont="1" applyAlignment="1">
      <alignment vertical="center" wrapText="1"/>
    </xf>
    <xf numFmtId="0" fontId="13" fillId="0" borderId="0" xfId="1" applyFont="1" applyAlignment="1">
      <alignment vertical="center"/>
    </xf>
    <xf numFmtId="0" fontId="5" fillId="0" borderId="8" xfId="1" applyFont="1" applyBorder="1" applyAlignment="1" applyProtection="1">
      <alignment vertical="center"/>
      <protection locked="0"/>
    </xf>
    <xf numFmtId="0" fontId="10" fillId="0" borderId="0" xfId="1" applyFont="1" applyAlignment="1">
      <alignment vertical="center"/>
    </xf>
    <xf numFmtId="0" fontId="14" fillId="0" borderId="0" xfId="1" applyFont="1" applyAlignment="1">
      <alignment horizontal="left" vertical="center"/>
    </xf>
    <xf numFmtId="0" fontId="14" fillId="0" borderId="0" xfId="1" applyFont="1" applyAlignment="1" applyProtection="1">
      <alignment vertical="center"/>
      <protection locked="0"/>
    </xf>
    <xf numFmtId="0" fontId="5" fillId="0" borderId="11" xfId="2" applyFont="1" applyBorder="1" applyAlignment="1">
      <alignment horizontal="center" vertical="center"/>
    </xf>
    <xf numFmtId="0" fontId="5" fillId="0" borderId="0" xfId="2" applyFont="1" applyAlignment="1">
      <alignment vertical="center"/>
    </xf>
    <xf numFmtId="0" fontId="5" fillId="0" borderId="10" xfId="2" applyFont="1" applyBorder="1" applyAlignment="1">
      <alignment vertical="center"/>
    </xf>
    <xf numFmtId="0" fontId="14" fillId="0" borderId="0" xfId="1" applyFont="1" applyAlignment="1">
      <alignment vertical="center"/>
    </xf>
    <xf numFmtId="0" fontId="5" fillId="0" borderId="0" xfId="2" applyFont="1" applyAlignment="1" applyProtection="1">
      <alignment vertical="center"/>
      <protection locked="0"/>
    </xf>
    <xf numFmtId="0" fontId="15" fillId="0" borderId="0" xfId="2" applyFont="1" applyAlignment="1" applyProtection="1">
      <alignment vertical="center"/>
      <protection locked="0"/>
    </xf>
    <xf numFmtId="0" fontId="3" fillId="0" borderId="0" xfId="2" applyFont="1" applyAlignment="1">
      <alignment vertical="center"/>
    </xf>
    <xf numFmtId="0" fontId="16" fillId="0" borderId="0" xfId="1" applyFont="1" applyAlignment="1">
      <alignment vertical="center"/>
    </xf>
    <xf numFmtId="0" fontId="5" fillId="0" borderId="11" xfId="2" applyFont="1" applyBorder="1" applyAlignment="1" applyProtection="1">
      <alignment horizontal="center" vertical="center"/>
      <protection locked="0"/>
    </xf>
    <xf numFmtId="167" fontId="5" fillId="0" borderId="0" xfId="2" applyNumberFormat="1" applyFont="1" applyAlignment="1" applyProtection="1">
      <alignment vertical="center"/>
      <protection locked="0"/>
    </xf>
    <xf numFmtId="0" fontId="5" fillId="0" borderId="10" xfId="2" applyFont="1" applyBorder="1" applyAlignment="1" applyProtection="1">
      <alignment vertical="center"/>
      <protection locked="0"/>
    </xf>
    <xf numFmtId="168" fontId="5" fillId="0" borderId="0" xfId="2" quotePrefix="1" applyNumberFormat="1" applyFont="1" applyAlignment="1" applyProtection="1">
      <alignment horizontal="right" vertical="center"/>
      <protection locked="0"/>
    </xf>
    <xf numFmtId="168" fontId="5" fillId="0" borderId="0" xfId="1" quotePrefix="1" applyNumberFormat="1" applyFont="1" applyAlignment="1" applyProtection="1">
      <alignment horizontal="right" vertical="center"/>
      <protection locked="0"/>
    </xf>
    <xf numFmtId="0" fontId="5" fillId="0" borderId="0" xfId="0" applyFont="1" applyAlignment="1">
      <alignment horizontal="right"/>
    </xf>
    <xf numFmtId="165" fontId="5" fillId="0" borderId="0" xfId="2" quotePrefix="1" applyNumberFormat="1" applyFont="1" applyAlignment="1" applyProtection="1">
      <alignment horizontal="right" vertical="center"/>
      <protection locked="0"/>
    </xf>
    <xf numFmtId="2" fontId="5" fillId="0" borderId="0" xfId="2" quotePrefix="1" applyNumberFormat="1" applyFont="1" applyAlignment="1" applyProtection="1">
      <alignment horizontal="right" vertical="center"/>
      <protection locked="0"/>
    </xf>
    <xf numFmtId="167" fontId="5" fillId="0" borderId="0" xfId="1" quotePrefix="1" applyNumberFormat="1" applyFont="1" applyAlignment="1" applyProtection="1">
      <alignment horizontal="right" vertical="center"/>
      <protection locked="0"/>
    </xf>
    <xf numFmtId="2" fontId="5" fillId="0" borderId="0" xfId="1" quotePrefix="1" applyNumberFormat="1" applyFont="1" applyAlignment="1" applyProtection="1">
      <alignment horizontal="right" vertical="center"/>
      <protection locked="0"/>
    </xf>
    <xf numFmtId="165" fontId="5" fillId="0" borderId="0" xfId="1" quotePrefix="1" applyNumberFormat="1" applyFont="1" applyAlignment="1" applyProtection="1">
      <alignment horizontal="right" vertical="center"/>
      <protection locked="0"/>
    </xf>
    <xf numFmtId="1" fontId="5" fillId="0" borderId="0" xfId="1" quotePrefix="1" applyNumberFormat="1" applyFont="1" applyAlignment="1" applyProtection="1">
      <alignment horizontal="right" vertical="center"/>
      <protection locked="0"/>
    </xf>
    <xf numFmtId="166" fontId="5" fillId="0" borderId="0" xfId="1" quotePrefix="1" applyNumberFormat="1" applyFont="1" applyAlignment="1" applyProtection="1">
      <alignment horizontal="right" vertical="center"/>
      <protection locked="0"/>
    </xf>
    <xf numFmtId="0" fontId="5" fillId="0" borderId="7" xfId="2" applyFont="1" applyBorder="1" applyAlignment="1">
      <alignment horizontal="center" vertical="center"/>
    </xf>
    <xf numFmtId="0" fontId="5" fillId="0" borderId="8" xfId="2" applyFont="1" applyBorder="1" applyAlignment="1">
      <alignment vertical="center"/>
    </xf>
    <xf numFmtId="0" fontId="5" fillId="0" borderId="8" xfId="2" applyFont="1" applyBorder="1" applyAlignment="1">
      <alignment horizontal="right" vertical="center"/>
    </xf>
    <xf numFmtId="0" fontId="5" fillId="0" borderId="9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4" fillId="0" borderId="0" xfId="2" applyFont="1" applyAlignment="1">
      <alignment horizontal="right" vertical="center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Alignment="1" applyProtection="1">
      <alignment horizontal="right"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2" fillId="0" borderId="0" xfId="1" applyFont="1" applyAlignment="1" applyProtection="1">
      <alignment horizontal="right" vertical="center"/>
      <protection locked="0"/>
    </xf>
    <xf numFmtId="0" fontId="17" fillId="0" borderId="0" xfId="3" applyAlignment="1">
      <alignment vertical="center"/>
    </xf>
    <xf numFmtId="0" fontId="2" fillId="0" borderId="0" xfId="0" quotePrefix="1" applyFont="1" applyAlignment="1">
      <alignment vertical="center"/>
    </xf>
    <xf numFmtId="0" fontId="18" fillId="0" borderId="0" xfId="3" applyFont="1" applyAlignment="1">
      <alignment vertical="center"/>
    </xf>
    <xf numFmtId="0" fontId="14" fillId="0" borderId="1" xfId="1" applyFont="1" applyBorder="1" applyAlignment="1">
      <alignment horizontal="left" vertical="center"/>
    </xf>
    <xf numFmtId="0" fontId="14" fillId="0" borderId="2" xfId="1" applyFont="1" applyBorder="1" applyAlignment="1" applyProtection="1">
      <alignment vertical="center"/>
      <protection locked="0"/>
    </xf>
    <xf numFmtId="0" fontId="14" fillId="0" borderId="2" xfId="1" applyFont="1" applyBorder="1" applyAlignment="1" applyProtection="1">
      <alignment horizontal="left" vertical="center"/>
      <protection locked="0"/>
    </xf>
    <xf numFmtId="0" fontId="14" fillId="0" borderId="3" xfId="1" applyFont="1" applyBorder="1" applyAlignment="1" applyProtection="1">
      <alignment vertical="center"/>
      <protection locked="0"/>
    </xf>
    <xf numFmtId="167" fontId="5" fillId="0" borderId="0" xfId="0" applyNumberFormat="1" applyFont="1" applyProtection="1">
      <protection locked="0"/>
    </xf>
    <xf numFmtId="1" fontId="5" fillId="2" borderId="12" xfId="1" applyNumberFormat="1" applyFont="1" applyFill="1" applyBorder="1" applyAlignment="1" applyProtection="1">
      <alignment vertical="center"/>
      <protection locked="0"/>
    </xf>
    <xf numFmtId="0" fontId="5" fillId="2" borderId="12" xfId="1" applyFont="1" applyFill="1" applyBorder="1" applyAlignment="1">
      <alignment vertical="center"/>
    </xf>
    <xf numFmtId="0" fontId="5" fillId="4" borderId="0" xfId="1" applyFont="1" applyFill="1" applyAlignment="1">
      <alignment vertical="center"/>
    </xf>
    <xf numFmtId="0" fontId="5" fillId="4" borderId="0" xfId="1" applyFont="1" applyFill="1" applyAlignment="1" applyProtection="1">
      <alignment vertical="center"/>
      <protection locked="0"/>
    </xf>
    <xf numFmtId="0" fontId="5" fillId="4" borderId="0" xfId="1" applyFont="1" applyFill="1" applyAlignment="1">
      <alignment horizontal="left" vertical="center"/>
    </xf>
    <xf numFmtId="0" fontId="5" fillId="4" borderId="0" xfId="1" quotePrefix="1" applyFont="1" applyFill="1" applyAlignment="1">
      <alignment horizontal="center" vertical="center"/>
    </xf>
    <xf numFmtId="0" fontId="3" fillId="4" borderId="0" xfId="1" applyFont="1" applyFill="1" applyAlignment="1">
      <alignment vertical="center"/>
    </xf>
    <xf numFmtId="2" fontId="5" fillId="4" borderId="0" xfId="1" applyNumberFormat="1" applyFont="1" applyFill="1" applyAlignment="1">
      <alignment vertical="center"/>
    </xf>
    <xf numFmtId="0" fontId="5" fillId="4" borderId="0" xfId="1" quotePrefix="1" applyFont="1" applyFill="1" applyAlignment="1">
      <alignment horizontal="left" vertical="center"/>
    </xf>
    <xf numFmtId="167" fontId="5" fillId="4" borderId="0" xfId="1" applyNumberFormat="1" applyFont="1" applyFill="1" applyAlignment="1" applyProtection="1">
      <alignment vertical="center"/>
      <protection locked="0"/>
    </xf>
    <xf numFmtId="165" fontId="5" fillId="4" borderId="0" xfId="1" applyNumberFormat="1" applyFont="1" applyFill="1" applyAlignment="1" applyProtection="1">
      <alignment vertical="center"/>
      <protection locked="0"/>
    </xf>
    <xf numFmtId="1" fontId="5" fillId="4" borderId="0" xfId="1" applyNumberFormat="1" applyFont="1" applyFill="1" applyAlignment="1">
      <alignment horizontal="right" vertical="center"/>
    </xf>
    <xf numFmtId="167" fontId="5" fillId="4" borderId="0" xfId="1" applyNumberFormat="1" applyFont="1" applyFill="1" applyAlignment="1">
      <alignment vertical="center"/>
    </xf>
    <xf numFmtId="0" fontId="5" fillId="4" borderId="0" xfId="1" applyFont="1" applyFill="1" applyAlignment="1">
      <alignment horizontal="center" vertical="center"/>
    </xf>
    <xf numFmtId="165" fontId="5" fillId="4" borderId="0" xfId="1" applyNumberFormat="1" applyFont="1" applyFill="1" applyAlignment="1">
      <alignment horizontal="left" vertical="center"/>
    </xf>
    <xf numFmtId="0" fontId="5" fillId="4" borderId="0" xfId="1" applyFont="1" applyFill="1" applyAlignment="1" applyProtection="1">
      <alignment horizontal="center" vertical="center"/>
      <protection locked="0"/>
    </xf>
    <xf numFmtId="165" fontId="5" fillId="4" borderId="0" xfId="1" applyNumberFormat="1" applyFont="1" applyFill="1" applyAlignment="1">
      <alignment vertical="center"/>
    </xf>
    <xf numFmtId="167" fontId="5" fillId="4" borderId="0" xfId="1" applyNumberFormat="1" applyFont="1" applyFill="1" applyAlignment="1" applyProtection="1">
      <alignment horizontal="right" vertical="center"/>
      <protection locked="0"/>
    </xf>
    <xf numFmtId="0" fontId="5" fillId="2" borderId="0" xfId="1" applyFont="1" applyFill="1" applyAlignment="1" applyProtection="1">
      <alignment vertical="center"/>
      <protection locked="0"/>
    </xf>
    <xf numFmtId="2" fontId="5" fillId="2" borderId="0" xfId="0" applyNumberFormat="1" applyFont="1" applyFill="1" applyProtection="1">
      <protection locked="0"/>
    </xf>
    <xf numFmtId="2" fontId="3" fillId="2" borderId="0" xfId="0" applyNumberFormat="1" applyFont="1" applyFill="1"/>
    <xf numFmtId="0" fontId="10" fillId="2" borderId="0" xfId="1" applyFont="1" applyFill="1" applyAlignment="1">
      <alignment vertical="center"/>
    </xf>
    <xf numFmtId="0" fontId="5" fillId="0" borderId="13" xfId="0" applyFont="1" applyBorder="1"/>
    <xf numFmtId="0" fontId="5" fillId="0" borderId="14" xfId="0" applyFont="1" applyBorder="1"/>
    <xf numFmtId="0" fontId="5" fillId="0" borderId="12" xfId="1" applyFont="1" applyBorder="1" applyAlignment="1" applyProtection="1">
      <alignment vertical="center"/>
      <protection locked="0"/>
    </xf>
    <xf numFmtId="0" fontId="5" fillId="0" borderId="12" xfId="0" applyFont="1" applyBorder="1"/>
    <xf numFmtId="0" fontId="5" fillId="0" borderId="13" xfId="1" applyFont="1" applyBorder="1" applyAlignment="1" applyProtection="1">
      <alignment vertical="center"/>
      <protection locked="0"/>
    </xf>
    <xf numFmtId="0" fontId="5" fillId="0" borderId="14" xfId="1" applyFont="1" applyBorder="1" applyAlignment="1" applyProtection="1">
      <alignment vertical="center"/>
      <protection locked="0"/>
    </xf>
    <xf numFmtId="2" fontId="5" fillId="0" borderId="14" xfId="0" applyNumberFormat="1" applyFont="1" applyBorder="1" applyProtection="1">
      <protection locked="0"/>
    </xf>
    <xf numFmtId="0" fontId="5" fillId="3" borderId="12" xfId="1" applyFont="1" applyFill="1" applyBorder="1" applyAlignment="1">
      <alignment vertical="center"/>
    </xf>
    <xf numFmtId="167" fontId="5" fillId="3" borderId="12" xfId="1" applyNumberFormat="1" applyFont="1" applyFill="1" applyBorder="1" applyAlignment="1" applyProtection="1">
      <alignment horizontal="right" vertical="center"/>
      <protection locked="0"/>
    </xf>
    <xf numFmtId="169" fontId="5" fillId="3" borderId="12" xfId="1" applyNumberFormat="1" applyFont="1" applyFill="1" applyBorder="1" applyAlignment="1" applyProtection="1">
      <alignment horizontal="right" vertical="center"/>
      <protection locked="0"/>
    </xf>
    <xf numFmtId="165" fontId="5" fillId="4" borderId="0" xfId="1" applyNumberFormat="1" applyFont="1" applyFill="1" applyAlignment="1" applyProtection="1">
      <alignment horizontal="right" vertical="center"/>
      <protection locked="0"/>
    </xf>
    <xf numFmtId="165" fontId="5" fillId="2" borderId="12" xfId="1" applyNumberFormat="1" applyFont="1" applyFill="1" applyBorder="1" applyAlignment="1" applyProtection="1">
      <alignment vertical="center"/>
      <protection locked="0"/>
    </xf>
    <xf numFmtId="0" fontId="8" fillId="0" borderId="4" xfId="1" applyFont="1" applyBorder="1" applyAlignment="1" applyProtection="1">
      <alignment horizontal="center" vertical="center"/>
      <protection locked="0"/>
    </xf>
    <xf numFmtId="0" fontId="8" fillId="0" borderId="5" xfId="1" applyFont="1" applyBorder="1" applyAlignment="1" applyProtection="1">
      <alignment vertical="center"/>
      <protection locked="0"/>
    </xf>
    <xf numFmtId="0" fontId="8" fillId="0" borderId="5" xfId="1" applyFont="1" applyBorder="1" applyAlignment="1" applyProtection="1">
      <alignment horizontal="right" vertical="center"/>
      <protection locked="0"/>
    </xf>
    <xf numFmtId="0" fontId="8" fillId="0" borderId="6" xfId="1" applyFont="1" applyBorder="1" applyAlignment="1" applyProtection="1">
      <alignment vertical="center"/>
      <protection locked="0"/>
    </xf>
    <xf numFmtId="0" fontId="8" fillId="0" borderId="11" xfId="1" applyFont="1" applyBorder="1" applyAlignment="1" applyProtection="1">
      <alignment horizontal="center" vertical="center"/>
      <protection locked="0"/>
    </xf>
    <xf numFmtId="0" fontId="8" fillId="0" borderId="10" xfId="1" applyFont="1" applyBorder="1" applyAlignment="1" applyProtection="1">
      <alignment vertical="center"/>
      <protection locked="0"/>
    </xf>
    <xf numFmtId="0" fontId="2" fillId="0" borderId="11" xfId="1" applyFont="1" applyBorder="1" applyAlignment="1" applyProtection="1">
      <alignment horizontal="center" vertical="center"/>
      <protection locked="0"/>
    </xf>
    <xf numFmtId="0" fontId="2" fillId="0" borderId="7" xfId="1" applyFont="1" applyBorder="1" applyAlignment="1" applyProtection="1">
      <alignment horizontal="center" vertical="center"/>
      <protection locked="0"/>
    </xf>
    <xf numFmtId="0" fontId="2" fillId="0" borderId="8" xfId="1" applyFont="1" applyBorder="1" applyAlignment="1" applyProtection="1">
      <alignment vertical="center"/>
      <protection locked="0"/>
    </xf>
    <xf numFmtId="0" fontId="2" fillId="0" borderId="8" xfId="1" applyFont="1" applyBorder="1" applyAlignment="1" applyProtection="1">
      <alignment horizontal="right" vertical="center"/>
      <protection locked="0"/>
    </xf>
    <xf numFmtId="0" fontId="2" fillId="0" borderId="9" xfId="1" applyFont="1" applyBorder="1" applyAlignment="1" applyProtection="1">
      <alignment vertical="center"/>
      <protection locked="0"/>
    </xf>
    <xf numFmtId="0" fontId="2" fillId="0" borderId="4" xfId="1" applyFont="1" applyBorder="1" applyAlignment="1" applyProtection="1">
      <alignment horizontal="center" vertical="center"/>
      <protection locked="0"/>
    </xf>
    <xf numFmtId="0" fontId="2" fillId="0" borderId="5" xfId="1" applyFont="1" applyBorder="1" applyAlignment="1" applyProtection="1">
      <alignment vertical="center"/>
      <protection locked="0"/>
    </xf>
    <xf numFmtId="0" fontId="2" fillId="0" borderId="5" xfId="1" applyFont="1" applyBorder="1" applyAlignment="1" applyProtection="1">
      <alignment horizontal="right" vertical="center"/>
      <protection locked="0"/>
    </xf>
    <xf numFmtId="0" fontId="2" fillId="0" borderId="6" xfId="1" applyFont="1" applyBorder="1" applyAlignment="1" applyProtection="1">
      <alignment vertical="center"/>
      <protection locked="0"/>
    </xf>
    <xf numFmtId="0" fontId="7" fillId="0" borderId="8" xfId="1" applyFont="1" applyBorder="1" applyAlignment="1" applyProtection="1">
      <alignment vertical="center"/>
      <protection locked="0"/>
    </xf>
    <xf numFmtId="0" fontId="0" fillId="4" borderId="0" xfId="0" applyFill="1"/>
    <xf numFmtId="0" fontId="7" fillId="4" borderId="0" xfId="0" applyFont="1" applyFill="1"/>
    <xf numFmtId="0" fontId="20" fillId="0" borderId="0" xfId="4"/>
    <xf numFmtId="0" fontId="0" fillId="4" borderId="0" xfId="0" quotePrefix="1" applyFill="1"/>
    <xf numFmtId="0" fontId="21" fillId="4" borderId="0" xfId="0" applyFont="1" applyFill="1"/>
    <xf numFmtId="0" fontId="5" fillId="0" borderId="0" xfId="0" applyFont="1"/>
    <xf numFmtId="0" fontId="5" fillId="0" borderId="0" xfId="1" quotePrefix="1" applyFont="1" applyAlignment="1">
      <alignment horizontal="left" vertical="center" wrapText="1"/>
    </xf>
    <xf numFmtId="0" fontId="5" fillId="0" borderId="0" xfId="1" applyFont="1" applyAlignment="1">
      <alignment vertical="center" wrapText="1"/>
    </xf>
    <xf numFmtId="0" fontId="5" fillId="2" borderId="12" xfId="0" applyFont="1" applyFill="1" applyBorder="1" applyProtection="1">
      <protection locked="0"/>
    </xf>
    <xf numFmtId="0" fontId="5" fillId="2" borderId="12" xfId="0" applyFont="1" applyFill="1" applyBorder="1"/>
    <xf numFmtId="0" fontId="3" fillId="0" borderId="0" xfId="2" applyFont="1" applyAlignment="1">
      <alignment horizontal="center" vertical="center" wrapText="1"/>
    </xf>
    <xf numFmtId="0" fontId="5" fillId="2" borderId="1" xfId="1" applyFont="1" applyFill="1" applyBorder="1" applyAlignment="1" applyProtection="1">
      <alignment horizontal="left" vertical="center"/>
      <protection locked="0"/>
    </xf>
    <xf numFmtId="0" fontId="5" fillId="2" borderId="2" xfId="1" applyFont="1" applyFill="1" applyBorder="1" applyAlignment="1" applyProtection="1">
      <alignment horizontal="left" vertical="center"/>
      <protection locked="0"/>
    </xf>
    <xf numFmtId="0" fontId="5" fillId="2" borderId="3" xfId="1" applyFont="1" applyFill="1" applyBorder="1" applyAlignment="1" applyProtection="1">
      <alignment horizontal="left" vertical="center"/>
      <protection locked="0"/>
    </xf>
    <xf numFmtId="0" fontId="7" fillId="0" borderId="7" xfId="1" applyFont="1" applyBorder="1" applyAlignment="1">
      <alignment horizontal="left" vertical="center" wrapText="1"/>
    </xf>
    <xf numFmtId="0" fontId="7" fillId="0" borderId="8" xfId="1" applyFont="1" applyBorder="1" applyAlignment="1">
      <alignment horizontal="left" vertical="center" wrapText="1"/>
    </xf>
    <xf numFmtId="0" fontId="5" fillId="4" borderId="0" xfId="1" applyFont="1" applyFill="1" applyAlignment="1" applyProtection="1">
      <alignment horizontal="left" vertical="center"/>
      <protection locked="0"/>
    </xf>
  </cellXfs>
  <cellStyles count="5">
    <cellStyle name="Hyperlink" xfId="4" builtinId="8"/>
    <cellStyle name="Normal" xfId="0" builtinId="0"/>
    <cellStyle name="Normal 3" xfId="3" xr:uid="{D447FD7B-4858-4217-98C0-2371DEBBA7FD}"/>
    <cellStyle name="Normal_346_0008 Sizing Sheets for PSV Calculations" xfId="1" xr:uid="{CD844C56-3050-4B5F-BBD3-6604DA1EB121}"/>
    <cellStyle name="Normal_Copy of 346_0008 Sizing Sheets for PSV Calculations" xfId="2" xr:uid="{6CF81970-9017-4693-B40C-FC02F9BF3F2B}"/>
  </cellStyles>
  <dxfs count="7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strike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strike val="0"/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FFFF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6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6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" Type="http://schemas.openxmlformats.org/officeDocument/2006/relationships/image" Target="../media/image6.jpe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25</xdr:row>
      <xdr:rowOff>114300</xdr:rowOff>
    </xdr:from>
    <xdr:to>
      <xdr:col>8</xdr:col>
      <xdr:colOff>400050</xdr:colOff>
      <xdr:row>47</xdr:row>
      <xdr:rowOff>21353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AF2046-1A87-670B-45E4-4242E96D7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2343150"/>
          <a:ext cx="4583430" cy="3688478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54</xdr:row>
      <xdr:rowOff>1</xdr:rowOff>
    </xdr:from>
    <xdr:to>
      <xdr:col>11</xdr:col>
      <xdr:colOff>593261</xdr:colOff>
      <xdr:row>67</xdr:row>
      <xdr:rowOff>76201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7D8D62-995B-79E3-A8E7-591590FCB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1" y="7200901"/>
          <a:ext cx="6689260" cy="2305050"/>
        </a:xfrm>
        <a:prstGeom prst="rect">
          <a:avLst/>
        </a:prstGeom>
      </xdr:spPr>
    </xdr:pic>
    <xdr:clientData/>
  </xdr:twoCellAnchor>
  <xdr:twoCellAnchor editAs="oneCell">
    <xdr:from>
      <xdr:col>3</xdr:col>
      <xdr:colOff>390525</xdr:colOff>
      <xdr:row>0</xdr:row>
      <xdr:rowOff>81915</xdr:rowOff>
    </xdr:from>
    <xdr:to>
      <xdr:col>4</xdr:col>
      <xdr:colOff>515985</xdr:colOff>
      <xdr:row>5</xdr:row>
      <xdr:rowOff>64770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08C24CE-6A1E-4FEB-B587-B670742D9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9325" y="81915"/>
          <a:ext cx="735060" cy="843915"/>
        </a:xfrm>
        <a:prstGeom prst="rect">
          <a:avLst/>
        </a:prstGeom>
      </xdr:spPr>
    </xdr:pic>
    <xdr:clientData/>
  </xdr:twoCellAnchor>
  <xdr:twoCellAnchor editAs="oneCell">
    <xdr:from>
      <xdr:col>4</xdr:col>
      <xdr:colOff>339090</xdr:colOff>
      <xdr:row>0</xdr:row>
      <xdr:rowOff>24766</xdr:rowOff>
    </xdr:from>
    <xdr:to>
      <xdr:col>11</xdr:col>
      <xdr:colOff>373188</xdr:colOff>
      <xdr:row>5</xdr:row>
      <xdr:rowOff>152400</xdr:rowOff>
    </xdr:to>
    <xdr:pic>
      <xdr:nvPicPr>
        <xdr:cNvPr id="5" name="Picture 4" descr="Image of HyRAM logo transparent">
          <a:extLst>
            <a:ext uri="{FF2B5EF4-FFF2-40B4-BE49-F238E27FC236}">
              <a16:creationId xmlns:a16="http://schemas.microsoft.com/office/drawing/2014/main" id="{B7ECEB6A-5FCA-A1B0-0DF5-64DFE919D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77490" y="24766"/>
          <a:ext cx="4301298" cy="9848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56F54C-DF27-4968-8125-6B8FF4144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0"/>
          <a:ext cx="882307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11</xdr:row>
          <xdr:rowOff>104775</xdr:rowOff>
        </xdr:from>
        <xdr:to>
          <xdr:col>10</xdr:col>
          <xdr:colOff>19050</xdr:colOff>
          <xdr:row>14</xdr:row>
          <xdr:rowOff>47625</xdr:rowOff>
        </xdr:to>
        <xdr:sp macro="" textlink="">
          <xdr:nvSpPr>
            <xdr:cNvPr id="7176" name="CommandButton1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31</xdr:row>
      <xdr:rowOff>0</xdr:rowOff>
    </xdr:from>
    <xdr:to>
      <xdr:col>10</xdr:col>
      <xdr:colOff>318527</xdr:colOff>
      <xdr:row>59</xdr:row>
      <xdr:rowOff>141740</xdr:rowOff>
    </xdr:to>
    <xdr:pic>
      <xdr:nvPicPr>
        <xdr:cNvPr id="4" name="Overpressure">
          <a:extLst>
            <a:ext uri="{FF2B5EF4-FFF2-40B4-BE49-F238E27FC236}">
              <a16:creationId xmlns:a16="http://schemas.microsoft.com/office/drawing/2014/main" id="{9EEE308F-9B9F-3DD9-2029-543CA0079D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743450"/>
          <a:ext cx="5385827" cy="414224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68</xdr:row>
      <xdr:rowOff>0</xdr:rowOff>
    </xdr:from>
    <xdr:to>
      <xdr:col>10</xdr:col>
      <xdr:colOff>291095</xdr:colOff>
      <xdr:row>97</xdr:row>
      <xdr:rowOff>17915</xdr:rowOff>
    </xdr:to>
    <xdr:pic>
      <xdr:nvPicPr>
        <xdr:cNvPr id="6" name="Impulse">
          <a:extLst>
            <a:ext uri="{FF2B5EF4-FFF2-40B4-BE49-F238E27FC236}">
              <a16:creationId xmlns:a16="http://schemas.microsoft.com/office/drawing/2014/main" id="{1CEBA1DD-7979-E89C-EDA5-D236553EE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0029825"/>
          <a:ext cx="5358395" cy="41422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20D9BBF-2558-4496-95C0-47CBD736BF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" y="38100"/>
          <a:ext cx="903262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12</xdr:row>
          <xdr:rowOff>38100</xdr:rowOff>
        </xdr:from>
        <xdr:to>
          <xdr:col>10</xdr:col>
          <xdr:colOff>342900</xdr:colOff>
          <xdr:row>15</xdr:row>
          <xdr:rowOff>66675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Flame analysis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31</xdr:row>
      <xdr:rowOff>0</xdr:rowOff>
    </xdr:from>
    <xdr:to>
      <xdr:col>9</xdr:col>
      <xdr:colOff>157743</xdr:colOff>
      <xdr:row>60</xdr:row>
      <xdr:rowOff>72017</xdr:rowOff>
    </xdr:to>
    <xdr:pic>
      <xdr:nvPicPr>
        <xdr:cNvPr id="4" name="Flame heat flux">
          <a:extLst>
            <a:ext uri="{FF2B5EF4-FFF2-40B4-BE49-F238E27FC236}">
              <a16:creationId xmlns:a16="http://schemas.microsoft.com/office/drawing/2014/main" id="{BE124702-4781-861F-6E5F-1E8A73C007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743450"/>
          <a:ext cx="4672593" cy="421539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67</xdr:row>
      <xdr:rowOff>0</xdr:rowOff>
    </xdr:from>
    <xdr:to>
      <xdr:col>9</xdr:col>
      <xdr:colOff>57159</xdr:colOff>
      <xdr:row>97</xdr:row>
      <xdr:rowOff>21345</xdr:rowOff>
    </xdr:to>
    <xdr:pic>
      <xdr:nvPicPr>
        <xdr:cNvPr id="6" name="Flame temperature">
          <a:extLst>
            <a:ext uri="{FF2B5EF4-FFF2-40B4-BE49-F238E27FC236}">
              <a16:creationId xmlns:a16="http://schemas.microsoft.com/office/drawing/2014/main" id="{7B3F99FC-705B-C9D6-E98E-53AF0C049B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9886950"/>
          <a:ext cx="4572009" cy="428854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938DDE0-C6B1-4BA1-92E2-F7FC87798C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" y="38100"/>
          <a:ext cx="903262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11</xdr:row>
          <xdr:rowOff>85725</xdr:rowOff>
        </xdr:from>
        <xdr:to>
          <xdr:col>10</xdr:col>
          <xdr:colOff>247650</xdr:colOff>
          <xdr:row>14</xdr:row>
          <xdr:rowOff>57150</xdr:rowOff>
        </xdr:to>
        <xdr:sp macro="" textlink="">
          <xdr:nvSpPr>
            <xdr:cNvPr id="3078" name="CommandButton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31</xdr:row>
      <xdr:rowOff>0</xdr:rowOff>
    </xdr:from>
    <xdr:to>
      <xdr:col>11</xdr:col>
      <xdr:colOff>140981</xdr:colOff>
      <xdr:row>60</xdr:row>
      <xdr:rowOff>126881</xdr:rowOff>
    </xdr:to>
    <xdr:pic>
      <xdr:nvPicPr>
        <xdr:cNvPr id="8" name="Jet Plume">
          <a:extLst>
            <a:ext uri="{FF2B5EF4-FFF2-40B4-BE49-F238E27FC236}">
              <a16:creationId xmlns:a16="http://schemas.microsoft.com/office/drawing/2014/main" id="{1FACB235-B8EF-048D-C86D-B6CA535568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743450"/>
          <a:ext cx="5760731" cy="427025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AE47A1-9EC6-4DE8-B62B-080D336DF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0"/>
          <a:ext cx="882307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390525</xdr:colOff>
          <xdr:row>13</xdr:row>
          <xdr:rowOff>95250</xdr:rowOff>
        </xdr:from>
        <xdr:to>
          <xdr:col>10</xdr:col>
          <xdr:colOff>142875</xdr:colOff>
          <xdr:row>16</xdr:row>
          <xdr:rowOff>95250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confined overpressure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222418</xdr:colOff>
      <xdr:row>37</xdr:row>
      <xdr:rowOff>114300</xdr:rowOff>
    </xdr:from>
    <xdr:to>
      <xdr:col>9</xdr:col>
      <xdr:colOff>440025</xdr:colOff>
      <xdr:row>60</xdr:row>
      <xdr:rowOff>125131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DD9B7DB-3652-5085-50F0-A1A13AED1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4818" y="5715000"/>
          <a:ext cx="4732457" cy="329695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65</xdr:row>
      <xdr:rowOff>1</xdr:rowOff>
    </xdr:from>
    <xdr:to>
      <xdr:col>10</xdr:col>
      <xdr:colOff>48778</xdr:colOff>
      <xdr:row>91</xdr:row>
      <xdr:rowOff>122842</xdr:rowOff>
    </xdr:to>
    <xdr:pic>
      <xdr:nvPicPr>
        <xdr:cNvPr id="6" name="Overpressure">
          <a:extLst>
            <a:ext uri="{FF2B5EF4-FFF2-40B4-BE49-F238E27FC236}">
              <a16:creationId xmlns:a16="http://schemas.microsoft.com/office/drawing/2014/main" id="{E44688E1-CD75-96D6-C659-1EF1F5A94C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9601201"/>
          <a:ext cx="4773178" cy="381854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92</xdr:row>
      <xdr:rowOff>0</xdr:rowOff>
    </xdr:from>
    <xdr:to>
      <xdr:col>10</xdr:col>
      <xdr:colOff>40548</xdr:colOff>
      <xdr:row>116</xdr:row>
      <xdr:rowOff>126194</xdr:rowOff>
    </xdr:to>
    <xdr:pic>
      <xdr:nvPicPr>
        <xdr:cNvPr id="10" name="Layer">
          <a:extLst>
            <a:ext uri="{FF2B5EF4-FFF2-40B4-BE49-F238E27FC236}">
              <a16:creationId xmlns:a16="http://schemas.microsoft.com/office/drawing/2014/main" id="{58C8B3A0-38F0-E58E-03BE-B184204568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13439775"/>
          <a:ext cx="4764948" cy="3555194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120</xdr:row>
      <xdr:rowOff>0</xdr:rowOff>
    </xdr:from>
    <xdr:to>
      <xdr:col>9</xdr:col>
      <xdr:colOff>436636</xdr:colOff>
      <xdr:row>143</xdr:row>
      <xdr:rowOff>20200</xdr:rowOff>
    </xdr:to>
    <xdr:pic>
      <xdr:nvPicPr>
        <xdr:cNvPr id="14" name="Trajectory">
          <a:extLst>
            <a:ext uri="{FF2B5EF4-FFF2-40B4-BE49-F238E27FC236}">
              <a16:creationId xmlns:a16="http://schemas.microsoft.com/office/drawing/2014/main" id="{FD1DEC64-9BBB-55B6-4B93-998E4CB33B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1" y="17449800"/>
          <a:ext cx="4608585" cy="374447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144</xdr:row>
      <xdr:rowOff>0</xdr:rowOff>
    </xdr:from>
    <xdr:to>
      <xdr:col>9</xdr:col>
      <xdr:colOff>494242</xdr:colOff>
      <xdr:row>167</xdr:row>
      <xdr:rowOff>94266</xdr:rowOff>
    </xdr:to>
    <xdr:pic>
      <xdr:nvPicPr>
        <xdr:cNvPr id="16" name="Mass">
          <a:extLst>
            <a:ext uri="{FF2B5EF4-FFF2-40B4-BE49-F238E27FC236}">
              <a16:creationId xmlns:a16="http://schemas.microsoft.com/office/drawing/2014/main" id="{37590B00-C4D8-DD8C-B261-8FD1779DF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21336000"/>
          <a:ext cx="4666192" cy="381854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170</xdr:row>
      <xdr:rowOff>161922</xdr:rowOff>
    </xdr:from>
    <xdr:to>
      <xdr:col>9</xdr:col>
      <xdr:colOff>61731</xdr:colOff>
      <xdr:row>215</xdr:row>
      <xdr:rowOff>31405</xdr:rowOff>
    </xdr:to>
    <xdr:pic>
      <xdr:nvPicPr>
        <xdr:cNvPr id="18" name="Blowdown">
          <a:extLst>
            <a:ext uri="{FF2B5EF4-FFF2-40B4-BE49-F238E27FC236}">
              <a16:creationId xmlns:a16="http://schemas.microsoft.com/office/drawing/2014/main" id="{3EEC6E8A-F4F4-5CD7-8A19-BC504A6433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5707972"/>
          <a:ext cx="4576581" cy="715610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F230E197-6A8D-4548-B00A-E6C0A9F33C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E3DD065F-30C5-4622-A183-CB6CC25FCE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67F0144-0CF4-4DD5-9720-F7B0B8D9D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" y="38100"/>
          <a:ext cx="880402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373380</xdr:colOff>
          <xdr:row>13</xdr:row>
          <xdr:rowOff>102870</xdr:rowOff>
        </xdr:from>
        <xdr:to>
          <xdr:col>10</xdr:col>
          <xdr:colOff>133350</xdr:colOff>
          <xdr:row>16</xdr:row>
          <xdr:rowOff>102870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E4D9BF09-0990-411B-A74A-826691E8A8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blowdown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66</xdr:row>
      <xdr:rowOff>161922</xdr:rowOff>
    </xdr:from>
    <xdr:to>
      <xdr:col>9</xdr:col>
      <xdr:colOff>73161</xdr:colOff>
      <xdr:row>111</xdr:row>
      <xdr:rowOff>35215</xdr:rowOff>
    </xdr:to>
    <xdr:pic>
      <xdr:nvPicPr>
        <xdr:cNvPr id="8" name="Blowdown">
          <a:extLst>
            <a:ext uri="{FF2B5EF4-FFF2-40B4-BE49-F238E27FC236}">
              <a16:creationId xmlns:a16="http://schemas.microsoft.com/office/drawing/2014/main" id="{6A992789-FC01-420A-BA07-06A20AAFD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5816557"/>
          <a:ext cx="4591821" cy="707419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ersAndreasen\Documents\GitHub\minithermo\excel\ORS_PSV_MASTER.xlsm" TargetMode="External"/><Relationship Id="rId1" Type="http://schemas.openxmlformats.org/officeDocument/2006/relationships/externalLinkPath" Target="/Users/AndersAndreasen/Documents/GitHub/minithermo/excel/ORS_PSV_MAST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Documents%20and%20Settings\cts\Local%20Settings\Temporary%20Internet%20Files\Copy%20of%20346_0008%20Sizing%20Sheets%20for%20PSV%20Calculation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RONTPAGE"/>
      <sheetName val="PSV_SUMMARY"/>
      <sheetName val="PSV_CASES"/>
      <sheetName val="PSV_GAS"/>
      <sheetName val="PSV_LIQUID"/>
      <sheetName val="PSV_FIRE"/>
      <sheetName val="PSV_GFC"/>
      <sheetName val="PSV_HEM"/>
      <sheetName val="PSV_LHE"/>
      <sheetName val="PSV_NOTES"/>
      <sheetName val="MANUAL"/>
      <sheetName val="xlwings.conf"/>
      <sheetName val="PURE_COMPONENTS"/>
      <sheetName val="PSEUDO_COMPONENTS"/>
      <sheetName val="ORS_PSV_MASTER"/>
    </sheetNames>
    <definedNames>
      <definedName name="PrintSinglePage"/>
      <definedName name="PrintTwoPage"/>
    </definedNames>
    <sheetDataSet>
      <sheetData sheetId="0">
        <row r="3">
          <cell r="A3" t="str">
            <v>Project title</v>
          </cell>
        </row>
        <row r="6">
          <cell r="A6" t="str">
            <v>P&amp;ID</v>
          </cell>
        </row>
        <row r="7">
          <cell r="A7" t="str">
            <v>Equipment</v>
          </cell>
        </row>
        <row r="56">
          <cell r="A56" t="str">
            <v>ORS PSV calculation master DRAFT</v>
          </cell>
        </row>
      </sheetData>
      <sheetData sheetId="1">
        <row r="35">
          <cell r="G35" t="str">
            <v>Conventional</v>
          </cell>
        </row>
        <row r="37">
          <cell r="K37" t="str">
            <v>G</v>
          </cell>
        </row>
        <row r="40">
          <cell r="K40">
            <v>324.51547999999997</v>
          </cell>
        </row>
        <row r="44">
          <cell r="G44" t="str">
            <v>Yes</v>
          </cell>
        </row>
        <row r="64">
          <cell r="C64" t="str">
            <v>None</v>
          </cell>
          <cell r="D64"/>
        </row>
        <row r="65">
          <cell r="C65" t="str">
            <v>Custom</v>
          </cell>
          <cell r="D65">
            <v>1.3950027900055801</v>
          </cell>
        </row>
        <row r="66">
          <cell r="C66" t="str">
            <v>D</v>
          </cell>
          <cell r="D66">
            <v>0.11</v>
          </cell>
        </row>
        <row r="67">
          <cell r="C67" t="str">
            <v>E</v>
          </cell>
          <cell r="D67">
            <v>0.19600000000000001</v>
          </cell>
        </row>
        <row r="68">
          <cell r="C68" t="str">
            <v>F</v>
          </cell>
          <cell r="D68">
            <v>0.307</v>
          </cell>
        </row>
        <row r="69">
          <cell r="C69" t="str">
            <v>G</v>
          </cell>
          <cell r="D69">
            <v>0.503</v>
          </cell>
        </row>
        <row r="70">
          <cell r="C70" t="str">
            <v>H</v>
          </cell>
          <cell r="D70">
            <v>0.78500000000000003</v>
          </cell>
        </row>
        <row r="71">
          <cell r="C71" t="str">
            <v>J</v>
          </cell>
          <cell r="D71">
            <v>1.2869999999999999</v>
          </cell>
        </row>
        <row r="72">
          <cell r="C72" t="str">
            <v>K</v>
          </cell>
          <cell r="D72">
            <v>1.8380000000000001</v>
          </cell>
        </row>
        <row r="73">
          <cell r="C73" t="str">
            <v>L</v>
          </cell>
          <cell r="D73">
            <v>2.8530000000000002</v>
          </cell>
        </row>
        <row r="74">
          <cell r="C74" t="str">
            <v>M</v>
          </cell>
          <cell r="D74">
            <v>3.6</v>
          </cell>
        </row>
        <row r="75">
          <cell r="C75" t="str">
            <v>N</v>
          </cell>
          <cell r="D75">
            <v>4.34</v>
          </cell>
        </row>
        <row r="76">
          <cell r="C76" t="str">
            <v>P</v>
          </cell>
          <cell r="D76">
            <v>6.38</v>
          </cell>
        </row>
        <row r="77">
          <cell r="C77" t="str">
            <v>Q</v>
          </cell>
          <cell r="D77">
            <v>11.05</v>
          </cell>
        </row>
        <row r="78">
          <cell r="C78" t="str">
            <v>R</v>
          </cell>
          <cell r="D78">
            <v>16</v>
          </cell>
        </row>
        <row r="79">
          <cell r="C79" t="str">
            <v>T</v>
          </cell>
          <cell r="D79">
            <v>26</v>
          </cell>
        </row>
      </sheetData>
      <sheetData sheetId="2"/>
      <sheetData sheetId="3">
        <row r="15">
          <cell r="E15" t="str">
            <v>Gas Relief</v>
          </cell>
        </row>
        <row r="21">
          <cell r="F21">
            <v>50000</v>
          </cell>
        </row>
        <row r="23">
          <cell r="F23">
            <v>17.239999999999998</v>
          </cell>
        </row>
        <row r="24">
          <cell r="F24">
            <v>10</v>
          </cell>
        </row>
        <row r="25">
          <cell r="F25">
            <v>12.013525</v>
          </cell>
        </row>
        <row r="26">
          <cell r="F26">
            <v>1</v>
          </cell>
          <cell r="J26"/>
        </row>
        <row r="27">
          <cell r="F27">
            <v>100</v>
          </cell>
        </row>
        <row r="28">
          <cell r="F28">
            <v>0.97499999999999998</v>
          </cell>
        </row>
        <row r="31">
          <cell r="F31">
            <v>18.146446999999998</v>
          </cell>
        </row>
        <row r="32">
          <cell r="F32">
            <v>1.2415030009857573</v>
          </cell>
        </row>
        <row r="33">
          <cell r="F33">
            <v>0.98461520202104991</v>
          </cell>
        </row>
        <row r="36">
          <cell r="F36">
            <v>1</v>
          </cell>
        </row>
        <row r="37">
          <cell r="F37">
            <v>1</v>
          </cell>
        </row>
        <row r="38">
          <cell r="F38" t="str">
            <v>N/A</v>
          </cell>
        </row>
        <row r="39">
          <cell r="F39" t="str">
            <v>N/A</v>
          </cell>
        </row>
        <row r="42">
          <cell r="F42" t="str">
            <v>Critical flow</v>
          </cell>
        </row>
        <row r="43">
          <cell r="F43">
            <v>7411.1018339629481</v>
          </cell>
        </row>
        <row r="47">
          <cell r="I47" t="str">
            <v>G</v>
          </cell>
        </row>
        <row r="48">
          <cell r="F48">
            <v>10322.56</v>
          </cell>
          <cell r="I48">
            <v>324.51547999999997</v>
          </cell>
        </row>
        <row r="50">
          <cell r="F50">
            <v>69642.545948395127</v>
          </cell>
          <cell r="I50">
            <v>2189.3875382526712</v>
          </cell>
        </row>
        <row r="53">
          <cell r="F53">
            <v>96.374646282073684</v>
          </cell>
        </row>
        <row r="54">
          <cell r="F54" t="str">
            <v>V</v>
          </cell>
        </row>
      </sheetData>
      <sheetData sheetId="4">
        <row r="16">
          <cell r="F16" t="str">
            <v>Capacity certificate required</v>
          </cell>
        </row>
        <row r="23">
          <cell r="F23">
            <v>17.239999999999998</v>
          </cell>
        </row>
        <row r="24">
          <cell r="F24">
            <v>10</v>
          </cell>
        </row>
        <row r="26">
          <cell r="F26">
            <v>4.5</v>
          </cell>
          <cell r="J26"/>
        </row>
        <row r="27">
          <cell r="F27">
            <v>25</v>
          </cell>
        </row>
        <row r="28">
          <cell r="F28">
            <v>0.65</v>
          </cell>
        </row>
        <row r="31">
          <cell r="F31">
            <v>899.1</v>
          </cell>
        </row>
        <row r="32">
          <cell r="F32">
            <v>388</v>
          </cell>
        </row>
        <row r="35">
          <cell r="F35">
            <v>1</v>
          </cell>
        </row>
        <row r="36">
          <cell r="F36">
            <v>1</v>
          </cell>
        </row>
        <row r="37">
          <cell r="F37" t="str">
            <v>N/A</v>
          </cell>
        </row>
        <row r="38">
          <cell r="F38">
            <v>0.98436295913155192</v>
          </cell>
        </row>
        <row r="41">
          <cell r="F41">
            <v>5308.6459848732829</v>
          </cell>
        </row>
        <row r="42">
          <cell r="F42">
            <v>3128.9375198888424</v>
          </cell>
        </row>
        <row r="46">
          <cell r="F46" t="str">
            <v>P</v>
          </cell>
          <cell r="I46" t="str">
            <v>G</v>
          </cell>
        </row>
        <row r="47">
          <cell r="F47">
            <v>4116.1207999999997</v>
          </cell>
          <cell r="I47">
            <v>324.51547999999997</v>
          </cell>
        </row>
        <row r="49">
          <cell r="F49">
            <v>483562.4821915481</v>
          </cell>
          <cell r="I49">
            <v>38124.126730775657</v>
          </cell>
        </row>
        <row r="52">
          <cell r="F52"/>
        </row>
        <row r="53">
          <cell r="F53" t="str">
            <v>Liquid Flow</v>
          </cell>
        </row>
      </sheetData>
      <sheetData sheetId="5">
        <row r="2">
          <cell r="P2" t="str">
            <v>PR</v>
          </cell>
        </row>
        <row r="6">
          <cell r="P6" t="str">
            <v>EOS</v>
          </cell>
        </row>
        <row r="13">
          <cell r="E13"/>
        </row>
        <row r="14">
          <cell r="E14"/>
          <cell r="K14"/>
        </row>
        <row r="15">
          <cell r="E15"/>
        </row>
        <row r="18">
          <cell r="E18"/>
        </row>
        <row r="22">
          <cell r="G22">
            <v>17.239999999999998</v>
          </cell>
          <cell r="K22"/>
        </row>
        <row r="23">
          <cell r="G23"/>
        </row>
        <row r="24">
          <cell r="G24"/>
        </row>
        <row r="25">
          <cell r="G25"/>
          <cell r="K25"/>
        </row>
        <row r="29">
          <cell r="G29"/>
        </row>
        <row r="30">
          <cell r="G30"/>
        </row>
        <row r="31">
          <cell r="G31"/>
        </row>
        <row r="32">
          <cell r="G32"/>
        </row>
        <row r="33">
          <cell r="G33"/>
        </row>
        <row r="36">
          <cell r="G36"/>
        </row>
        <row r="37">
          <cell r="G37">
            <v>18</v>
          </cell>
        </row>
        <row r="38">
          <cell r="G38"/>
        </row>
        <row r="39">
          <cell r="G39"/>
        </row>
        <row r="42">
          <cell r="G42"/>
        </row>
        <row r="43">
          <cell r="G43"/>
        </row>
        <row r="44">
          <cell r="G44"/>
          <cell r="K44"/>
        </row>
        <row r="45">
          <cell r="G45"/>
        </row>
        <row r="46">
          <cell r="G46"/>
        </row>
        <row r="47">
          <cell r="G47"/>
        </row>
        <row r="48">
          <cell r="G48"/>
        </row>
        <row r="49">
          <cell r="G49"/>
        </row>
        <row r="50">
          <cell r="G50"/>
        </row>
        <row r="51">
          <cell r="G51"/>
        </row>
        <row r="54">
          <cell r="G54"/>
          <cell r="I54" t="str">
            <v>G</v>
          </cell>
        </row>
        <row r="55">
          <cell r="G55"/>
          <cell r="I55">
            <v>324.51547999999997</v>
          </cell>
        </row>
        <row r="57">
          <cell r="G57"/>
          <cell r="I57"/>
        </row>
        <row r="59">
          <cell r="G59"/>
        </row>
        <row r="60">
          <cell r="G60"/>
        </row>
      </sheetData>
      <sheetData sheetId="6">
        <row r="3">
          <cell r="P3" t="str">
            <v>PR</v>
          </cell>
        </row>
        <row r="17">
          <cell r="F17">
            <v>17.239999999999998</v>
          </cell>
          <cell r="J17"/>
        </row>
        <row r="18">
          <cell r="F18"/>
        </row>
        <row r="19">
          <cell r="F19"/>
          <cell r="J19"/>
        </row>
        <row r="20">
          <cell r="F20"/>
        </row>
        <row r="23">
          <cell r="F23"/>
        </row>
        <row r="24">
          <cell r="F24"/>
        </row>
        <row r="27">
          <cell r="F27"/>
        </row>
        <row r="28">
          <cell r="F28"/>
        </row>
        <row r="29">
          <cell r="F29"/>
        </row>
        <row r="32">
          <cell r="F32"/>
        </row>
        <row r="33">
          <cell r="F33"/>
        </row>
        <row r="34">
          <cell r="F34"/>
        </row>
        <row r="38">
          <cell r="F38" t="str">
            <v>Calculated</v>
          </cell>
        </row>
        <row r="42">
          <cell r="F42" t="str">
            <v>Manual</v>
          </cell>
        </row>
        <row r="46">
          <cell r="F46"/>
        </row>
        <row r="47">
          <cell r="F47"/>
        </row>
        <row r="48">
          <cell r="F48"/>
        </row>
        <row r="49">
          <cell r="F49"/>
        </row>
        <row r="50">
          <cell r="F50"/>
        </row>
        <row r="53">
          <cell r="F53"/>
          <cell r="I53" t="str">
            <v>G</v>
          </cell>
        </row>
        <row r="54">
          <cell r="F54"/>
          <cell r="I54">
            <v>324.51547999999997</v>
          </cell>
        </row>
        <row r="56">
          <cell r="F56"/>
          <cell r="I56"/>
        </row>
      </sheetData>
      <sheetData sheetId="7">
        <row r="20">
          <cell r="F20">
            <v>17.239999999999998</v>
          </cell>
        </row>
        <row r="21">
          <cell r="F21">
            <v>12.013525</v>
          </cell>
        </row>
        <row r="22">
          <cell r="F22">
            <v>10</v>
          </cell>
        </row>
        <row r="23">
          <cell r="F23">
            <v>1</v>
          </cell>
        </row>
        <row r="24">
          <cell r="F24">
            <v>100</v>
          </cell>
        </row>
        <row r="25">
          <cell r="F25">
            <v>0.85485508417422562</v>
          </cell>
        </row>
        <row r="27">
          <cell r="F27">
            <v>7.2765526315789471</v>
          </cell>
        </row>
        <row r="28">
          <cell r="F28">
            <v>81.085988437199546</v>
          </cell>
        </row>
        <row r="30">
          <cell r="F30">
            <v>2561.3805148219262</v>
          </cell>
        </row>
        <row r="37">
          <cell r="F37">
            <v>1</v>
          </cell>
        </row>
        <row r="38">
          <cell r="F38">
            <v>1</v>
          </cell>
        </row>
        <row r="39">
          <cell r="F39">
            <v>1</v>
          </cell>
        </row>
        <row r="41">
          <cell r="F41">
            <v>1268.6180867818862</v>
          </cell>
        </row>
        <row r="44">
          <cell r="F44" t="str">
            <v>L</v>
          </cell>
        </row>
        <row r="45">
          <cell r="F45">
            <v>1840.64148</v>
          </cell>
        </row>
        <row r="47">
          <cell r="F47">
            <v>14509.027572428597</v>
          </cell>
        </row>
        <row r="49">
          <cell r="F49">
            <v>93.440462472989452</v>
          </cell>
        </row>
        <row r="50">
          <cell r="F50">
            <v>10000</v>
          </cell>
        </row>
        <row r="51">
          <cell r="F51">
            <v>0</v>
          </cell>
        </row>
        <row r="52">
          <cell r="F52">
            <v>0</v>
          </cell>
        </row>
      </sheetData>
      <sheetData sheetId="8">
        <row r="2">
          <cell r="O2" t="str">
            <v>PR</v>
          </cell>
        </row>
        <row r="5">
          <cell r="O5" t="str">
            <v>EOS</v>
          </cell>
        </row>
        <row r="18">
          <cell r="E18" t="str">
            <v>Yes</v>
          </cell>
        </row>
        <row r="21">
          <cell r="F21">
            <v>17.239999999999998</v>
          </cell>
          <cell r="J21"/>
        </row>
        <row r="22">
          <cell r="F22">
            <v>10</v>
          </cell>
        </row>
        <row r="23">
          <cell r="F23">
            <v>1</v>
          </cell>
          <cell r="J23"/>
        </row>
        <row r="24">
          <cell r="F24">
            <v>100</v>
          </cell>
        </row>
        <row r="25">
          <cell r="F25">
            <v>0.65</v>
          </cell>
        </row>
        <row r="28">
          <cell r="F28">
            <v>90</v>
          </cell>
        </row>
        <row r="29">
          <cell r="F29">
            <v>3</v>
          </cell>
        </row>
        <row r="30">
          <cell r="F30">
            <v>1</v>
          </cell>
        </row>
        <row r="31">
          <cell r="F31">
            <v>4.18</v>
          </cell>
        </row>
        <row r="32">
          <cell r="F32">
            <v>900</v>
          </cell>
        </row>
        <row r="33">
          <cell r="F33">
            <v>890</v>
          </cell>
        </row>
        <row r="36">
          <cell r="F36">
            <v>0.1</v>
          </cell>
        </row>
        <row r="37">
          <cell r="F37">
            <v>100</v>
          </cell>
        </row>
        <row r="38">
          <cell r="F38">
            <v>31.431708</v>
          </cell>
        </row>
        <row r="39">
          <cell r="F39"/>
        </row>
        <row r="42">
          <cell r="F42"/>
        </row>
        <row r="43">
          <cell r="F43"/>
        </row>
        <row r="44">
          <cell r="F44"/>
        </row>
        <row r="45">
          <cell r="F45"/>
        </row>
        <row r="48">
          <cell r="F48"/>
          <cell r="J48"/>
        </row>
        <row r="49">
          <cell r="F49"/>
          <cell r="J49"/>
        </row>
        <row r="50">
          <cell r="F50"/>
        </row>
        <row r="51">
          <cell r="F51"/>
        </row>
        <row r="52">
          <cell r="F52"/>
        </row>
        <row r="53">
          <cell r="F53"/>
        </row>
        <row r="56">
          <cell r="F56"/>
          <cell r="I56" t="str">
            <v>G</v>
          </cell>
        </row>
        <row r="57">
          <cell r="F57"/>
          <cell r="I57">
            <v>324.51547999999997</v>
          </cell>
        </row>
        <row r="59">
          <cell r="F59"/>
          <cell r="I59"/>
        </row>
      </sheetData>
      <sheetData sheetId="9"/>
      <sheetData sheetId="10">
        <row r="81">
          <cell r="B81" t="str">
            <v>Calculation is performed in accordance with API RP 520, PART I, 9th ed. 2014</v>
          </cell>
        </row>
      </sheetData>
      <sheetData sheetId="11"/>
      <sheetData sheetId="12">
        <row r="2">
          <cell r="B2" t="str">
            <v>yes</v>
          </cell>
        </row>
        <row r="3">
          <cell r="B3" t="str">
            <v>yes</v>
          </cell>
        </row>
        <row r="4">
          <cell r="B4" t="str">
            <v>yes</v>
          </cell>
        </row>
        <row r="5">
          <cell r="B5" t="str">
            <v>yes</v>
          </cell>
        </row>
        <row r="6">
          <cell r="B6" t="str">
            <v>yes</v>
          </cell>
        </row>
        <row r="7">
          <cell r="B7" t="str">
            <v>yes</v>
          </cell>
        </row>
        <row r="8">
          <cell r="B8" t="str">
            <v>yes</v>
          </cell>
        </row>
        <row r="9">
          <cell r="B9" t="str">
            <v>yes</v>
          </cell>
        </row>
        <row r="10">
          <cell r="B10" t="str">
            <v>no</v>
          </cell>
        </row>
        <row r="11">
          <cell r="B11" t="str">
            <v>no</v>
          </cell>
        </row>
        <row r="12">
          <cell r="B12" t="str">
            <v>no</v>
          </cell>
        </row>
        <row r="13">
          <cell r="B13" t="str">
            <v>no</v>
          </cell>
        </row>
        <row r="14">
          <cell r="B14" t="str">
            <v>no</v>
          </cell>
        </row>
        <row r="15">
          <cell r="B15" t="str">
            <v>yes</v>
          </cell>
        </row>
        <row r="16">
          <cell r="B16" t="str">
            <v>yes</v>
          </cell>
        </row>
        <row r="17">
          <cell r="B17" t="str">
            <v>no</v>
          </cell>
        </row>
        <row r="18">
          <cell r="B18" t="str">
            <v>no</v>
          </cell>
        </row>
        <row r="19">
          <cell r="B19" t="str">
            <v>no</v>
          </cell>
        </row>
        <row r="20">
          <cell r="B20" t="str">
            <v>no</v>
          </cell>
        </row>
        <row r="21">
          <cell r="B21" t="str">
            <v>no</v>
          </cell>
        </row>
        <row r="22">
          <cell r="B22" t="str">
            <v>no</v>
          </cell>
        </row>
        <row r="23">
          <cell r="B23" t="str">
            <v>no</v>
          </cell>
        </row>
        <row r="24">
          <cell r="B24" t="str">
            <v>yes</v>
          </cell>
        </row>
      </sheetData>
      <sheetData sheetId="13">
        <row r="2">
          <cell r="A2" t="str">
            <v>C10-C11</v>
          </cell>
          <cell r="B2" t="str">
            <v>yes</v>
          </cell>
        </row>
        <row r="3">
          <cell r="A3" t="str">
            <v>C12-C14</v>
          </cell>
          <cell r="B3" t="str">
            <v>no</v>
          </cell>
          <cell r="I3" t="str">
            <v/>
          </cell>
        </row>
        <row r="4">
          <cell r="A4" t="str">
            <v>C15+</v>
          </cell>
          <cell r="B4" t="str">
            <v>no</v>
          </cell>
          <cell r="I4" t="str">
            <v/>
          </cell>
        </row>
        <row r="5">
          <cell r="I5" t="str">
            <v/>
          </cell>
        </row>
        <row r="6">
          <cell r="I6" t="str">
            <v/>
          </cell>
        </row>
        <row r="7">
          <cell r="I7" t="str">
            <v/>
          </cell>
        </row>
        <row r="8">
          <cell r="I8" t="str">
            <v/>
          </cell>
        </row>
        <row r="9">
          <cell r="I9" t="str">
            <v/>
          </cell>
        </row>
        <row r="10">
          <cell r="I10" t="str">
            <v/>
          </cell>
        </row>
        <row r="11">
          <cell r="I11" t="str">
            <v/>
          </cell>
        </row>
        <row r="12">
          <cell r="I12" t="str">
            <v/>
          </cell>
        </row>
        <row r="13">
          <cell r="I13" t="str">
            <v/>
          </cell>
        </row>
        <row r="14">
          <cell r="I14" t="str">
            <v/>
          </cell>
        </row>
        <row r="15">
          <cell r="I15" t="str">
            <v/>
          </cell>
        </row>
        <row r="16">
          <cell r="I16" t="str">
            <v/>
          </cell>
        </row>
        <row r="17">
          <cell r="I17" t="str">
            <v/>
          </cell>
        </row>
        <row r="18">
          <cell r="I18" t="str">
            <v/>
          </cell>
        </row>
        <row r="19">
          <cell r="I19" t="str">
            <v/>
          </cell>
        </row>
        <row r="20">
          <cell r="I20" t="str">
            <v/>
          </cell>
        </row>
        <row r="21">
          <cell r="I21" t="str">
            <v/>
          </cell>
        </row>
      </sheetData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PAGE"/>
      <sheetName val="PSV"/>
      <sheetName val="PSV_SS1"/>
      <sheetName val="PSV_V1"/>
      <sheetName val="PSV_V2"/>
      <sheetName val="PSV_V3-steam"/>
      <sheetName val="PSV_L1"/>
      <sheetName val="PSV_L2"/>
      <sheetName val="PSV_HEM"/>
      <sheetName val="PSV_FCH"/>
      <sheetName val="PSV_FCV"/>
      <sheetName val="PSV_HC1"/>
      <sheetName val="PSV_GFC"/>
      <sheetName val="PSV Lead pipe"/>
      <sheetName val="PSV_HC"/>
      <sheetName val="Tabel 2.2"/>
      <sheetName val="MacroBeregning"/>
    </sheetNames>
    <sheetDataSet>
      <sheetData sheetId="0"/>
      <sheetData sheetId="1"/>
      <sheetData sheetId="2"/>
      <sheetData sheetId="3"/>
      <sheetData sheetId="4">
        <row r="33">
          <cell r="G33">
            <v>1.3</v>
          </cell>
        </row>
      </sheetData>
      <sheetData sheetId="5"/>
      <sheetData sheetId="6"/>
      <sheetData sheetId="7"/>
      <sheetData sheetId="8"/>
      <sheetData sheetId="9">
        <row r="35">
          <cell r="G35">
            <v>3</v>
          </cell>
        </row>
        <row r="37">
          <cell r="G37">
            <v>1</v>
          </cell>
        </row>
      </sheetData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energy.sandia.gov/programs/sustainable-transportation/hydrogen/hydrogen-safety-codes-and-standards/hyra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image" Target="../media/image11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BD2A0-BBDC-4D24-BB9E-90520F2AA979}">
  <sheetPr codeName="Sheet1">
    <tabColor rgb="FF92D050"/>
  </sheetPr>
  <dimension ref="A1:M106"/>
  <sheetViews>
    <sheetView workbookViewId="0">
      <selection activeCell="K50" sqref="K50"/>
    </sheetView>
  </sheetViews>
  <sheetFormatPr defaultRowHeight="12.75" x14ac:dyDescent="0.2"/>
  <sheetData>
    <row r="1" spans="1:13" x14ac:dyDescent="0.2">
      <c r="A1" s="180"/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</row>
    <row r="2" spans="1:13" x14ac:dyDescent="0.2">
      <c r="A2" s="180"/>
      <c r="B2" s="180"/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</row>
    <row r="3" spans="1:13" x14ac:dyDescent="0.2">
      <c r="A3" s="180"/>
      <c r="B3" s="180"/>
      <c r="C3" s="180"/>
      <c r="D3" s="180"/>
      <c r="E3" s="180"/>
      <c r="F3" s="180"/>
      <c r="G3" s="180"/>
      <c r="H3" s="180"/>
      <c r="I3" s="180"/>
      <c r="J3" s="180"/>
      <c r="K3" s="180"/>
      <c r="L3" s="180"/>
      <c r="M3" s="180"/>
    </row>
    <row r="4" spans="1:13" x14ac:dyDescent="0.2">
      <c r="A4" s="180"/>
      <c r="B4" s="180"/>
      <c r="C4" s="180"/>
      <c r="D4" s="180"/>
      <c r="E4" s="180"/>
      <c r="G4" s="180"/>
      <c r="H4" s="180"/>
      <c r="I4" s="180"/>
      <c r="J4" s="180"/>
      <c r="K4" s="180"/>
      <c r="L4" s="180"/>
      <c r="M4" s="180"/>
    </row>
    <row r="5" spans="1:13" x14ac:dyDescent="0.2">
      <c r="A5" s="180"/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</row>
    <row r="6" spans="1:13" x14ac:dyDescent="0.2">
      <c r="A6" s="180"/>
      <c r="B6" s="180"/>
      <c r="C6" s="180"/>
      <c r="D6" s="180"/>
      <c r="E6" s="180"/>
      <c r="F6" s="180"/>
      <c r="G6" s="180"/>
      <c r="H6" s="180"/>
      <c r="I6" s="180"/>
      <c r="J6" s="180"/>
      <c r="K6" s="180"/>
      <c r="L6" s="180"/>
      <c r="M6" s="180"/>
    </row>
    <row r="7" spans="1:13" x14ac:dyDescent="0.2">
      <c r="A7" s="180"/>
      <c r="B7" s="181" t="s">
        <v>139</v>
      </c>
      <c r="C7" s="180"/>
      <c r="D7" s="180"/>
      <c r="E7" s="180"/>
      <c r="F7" s="180"/>
      <c r="G7" s="180"/>
      <c r="H7" s="180"/>
      <c r="I7" s="180"/>
      <c r="J7" s="180"/>
      <c r="K7" s="180"/>
      <c r="L7" s="180"/>
      <c r="M7" s="180"/>
    </row>
    <row r="8" spans="1:13" x14ac:dyDescent="0.2">
      <c r="A8" s="180"/>
      <c r="B8" s="180" t="s">
        <v>140</v>
      </c>
      <c r="C8" s="180"/>
      <c r="D8" s="180"/>
      <c r="E8" s="180"/>
      <c r="F8" s="180"/>
      <c r="G8" s="180"/>
      <c r="H8" s="180"/>
      <c r="I8" s="180"/>
      <c r="J8" s="180"/>
      <c r="K8" s="180"/>
      <c r="L8" s="180"/>
      <c r="M8" s="180"/>
    </row>
    <row r="9" spans="1:13" x14ac:dyDescent="0.2">
      <c r="A9" s="180"/>
      <c r="B9" s="180" t="s">
        <v>141</v>
      </c>
      <c r="C9" s="180"/>
      <c r="D9" s="180"/>
      <c r="E9" s="180"/>
      <c r="F9" s="180"/>
      <c r="G9" s="180"/>
      <c r="H9" s="180"/>
      <c r="I9" s="180"/>
      <c r="J9" s="180"/>
      <c r="K9" s="180"/>
      <c r="L9" s="180"/>
      <c r="M9" s="180"/>
    </row>
    <row r="10" spans="1:13" x14ac:dyDescent="0.2">
      <c r="A10" s="180"/>
      <c r="B10" s="182" t="s">
        <v>142</v>
      </c>
      <c r="C10" s="180"/>
      <c r="D10" s="180"/>
      <c r="E10" s="180"/>
      <c r="F10" s="180"/>
      <c r="G10" s="180"/>
      <c r="H10" s="180"/>
      <c r="I10" s="180"/>
      <c r="J10" s="180"/>
      <c r="K10" s="180"/>
      <c r="L10" s="180"/>
      <c r="M10" s="180"/>
    </row>
    <row r="11" spans="1:13" x14ac:dyDescent="0.2">
      <c r="A11" s="180"/>
      <c r="B11" s="180" t="s">
        <v>144</v>
      </c>
      <c r="C11" s="180"/>
      <c r="D11" s="180"/>
      <c r="E11" s="180"/>
      <c r="F11" s="180"/>
      <c r="G11" s="180"/>
      <c r="H11" s="180"/>
      <c r="I11" s="180"/>
      <c r="J11" s="180"/>
      <c r="K11" s="180"/>
      <c r="L11" s="180"/>
      <c r="M11" s="180"/>
    </row>
    <row r="12" spans="1:13" x14ac:dyDescent="0.2">
      <c r="A12" s="180"/>
      <c r="B12" s="180" t="s">
        <v>145</v>
      </c>
      <c r="C12" s="180"/>
      <c r="D12" s="180"/>
      <c r="E12" s="180"/>
      <c r="F12" s="180"/>
      <c r="G12" s="180"/>
      <c r="H12" s="180"/>
      <c r="I12" s="180"/>
      <c r="J12" s="180"/>
      <c r="K12" s="180"/>
      <c r="L12" s="180"/>
      <c r="M12" s="180"/>
    </row>
    <row r="13" spans="1:13" x14ac:dyDescent="0.2">
      <c r="A13" s="180"/>
      <c r="B13" s="180" t="s">
        <v>146</v>
      </c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</row>
    <row r="14" spans="1:13" x14ac:dyDescent="0.2">
      <c r="A14" s="180"/>
      <c r="B14" s="180"/>
      <c r="C14" s="180"/>
      <c r="D14" s="180"/>
      <c r="E14" s="180"/>
      <c r="F14" s="180"/>
      <c r="G14" s="180"/>
      <c r="H14" s="180"/>
      <c r="I14" s="180"/>
      <c r="J14" s="180"/>
      <c r="K14" s="180"/>
      <c r="L14" s="180"/>
      <c r="M14" s="180"/>
    </row>
    <row r="15" spans="1:13" x14ac:dyDescent="0.2">
      <c r="A15" s="180"/>
      <c r="B15" s="180" t="s">
        <v>152</v>
      </c>
      <c r="C15" s="180"/>
      <c r="D15" s="180"/>
      <c r="E15" s="180"/>
      <c r="F15" s="180"/>
      <c r="G15" s="180"/>
      <c r="H15" s="180"/>
      <c r="I15" s="180"/>
      <c r="J15" s="180"/>
      <c r="K15" s="180"/>
      <c r="L15" s="180"/>
      <c r="M15" s="180"/>
    </row>
    <row r="16" spans="1:13" x14ac:dyDescent="0.2">
      <c r="A16" s="180"/>
      <c r="B16" s="183" t="s">
        <v>153</v>
      </c>
      <c r="C16" s="180"/>
      <c r="D16" s="180"/>
      <c r="E16" s="180"/>
      <c r="F16" s="180"/>
      <c r="G16" s="180"/>
      <c r="H16" s="180"/>
      <c r="I16" s="180"/>
      <c r="J16" s="180"/>
      <c r="K16" s="180"/>
      <c r="L16" s="180"/>
      <c r="M16" s="180"/>
    </row>
    <row r="17" spans="1:13" ht="13.9" customHeight="1" x14ac:dyDescent="0.2">
      <c r="A17" s="180"/>
      <c r="B17" s="183" t="s">
        <v>154</v>
      </c>
      <c r="C17" s="180"/>
      <c r="D17" s="180"/>
      <c r="E17" s="180"/>
      <c r="F17" s="180"/>
      <c r="G17" s="180"/>
      <c r="H17" s="180"/>
      <c r="I17" s="180"/>
      <c r="J17" s="180"/>
      <c r="K17" s="180"/>
      <c r="L17" s="180"/>
      <c r="M17" s="180"/>
    </row>
    <row r="18" spans="1:13" ht="13.9" customHeight="1" x14ac:dyDescent="0.2">
      <c r="A18" s="180"/>
      <c r="B18" s="183" t="s">
        <v>155</v>
      </c>
      <c r="C18" s="180"/>
      <c r="D18" s="180"/>
      <c r="E18" s="180"/>
      <c r="F18" s="180"/>
      <c r="G18" s="180"/>
      <c r="H18" s="180"/>
      <c r="I18" s="180"/>
      <c r="J18" s="180"/>
      <c r="K18" s="180"/>
      <c r="L18" s="180"/>
      <c r="M18" s="180"/>
    </row>
    <row r="19" spans="1:13" ht="13.9" customHeight="1" x14ac:dyDescent="0.2">
      <c r="A19" s="180"/>
      <c r="B19" s="183" t="s">
        <v>156</v>
      </c>
      <c r="C19" s="180"/>
      <c r="D19" s="180"/>
      <c r="E19" s="180"/>
      <c r="F19" s="180"/>
      <c r="G19" s="180"/>
      <c r="H19" s="180"/>
      <c r="I19" s="180"/>
      <c r="J19" s="180"/>
      <c r="K19" s="180"/>
      <c r="L19" s="180"/>
      <c r="M19" s="180"/>
    </row>
    <row r="20" spans="1:13" ht="13.9" customHeight="1" x14ac:dyDescent="0.2">
      <c r="A20" s="180"/>
      <c r="B20" s="183"/>
      <c r="C20" s="180"/>
      <c r="D20" s="180"/>
      <c r="E20" s="180"/>
      <c r="F20" s="180"/>
      <c r="G20" s="180"/>
      <c r="H20" s="180"/>
      <c r="I20" s="180"/>
      <c r="J20" s="180"/>
      <c r="K20" s="180"/>
      <c r="L20" s="180"/>
      <c r="M20" s="180"/>
    </row>
    <row r="21" spans="1:13" ht="13.9" customHeight="1" x14ac:dyDescent="0.2">
      <c r="A21" s="180"/>
      <c r="B21" s="183" t="s">
        <v>157</v>
      </c>
      <c r="C21" s="180"/>
      <c r="D21" s="180"/>
      <c r="E21" s="180"/>
      <c r="F21" s="180"/>
      <c r="G21" s="180"/>
      <c r="H21" s="180"/>
      <c r="I21" s="180"/>
      <c r="J21" s="180"/>
      <c r="K21" s="180"/>
      <c r="L21" s="180"/>
      <c r="M21" s="180"/>
    </row>
    <row r="22" spans="1:13" ht="13.9" customHeight="1" x14ac:dyDescent="0.2">
      <c r="A22" s="180"/>
      <c r="B22" s="183" t="s">
        <v>158</v>
      </c>
      <c r="C22" s="180"/>
      <c r="D22" s="180"/>
      <c r="E22" s="180"/>
      <c r="F22" s="180"/>
      <c r="G22" s="180"/>
      <c r="H22" s="180"/>
      <c r="I22" s="180"/>
      <c r="J22" s="180"/>
      <c r="K22" s="180"/>
      <c r="L22" s="180"/>
      <c r="M22" s="180"/>
    </row>
    <row r="23" spans="1:13" x14ac:dyDescent="0.2">
      <c r="A23" s="180"/>
      <c r="B23" s="180"/>
      <c r="C23" s="180"/>
      <c r="D23" s="180"/>
      <c r="E23" s="180"/>
      <c r="F23" s="180"/>
      <c r="G23" s="180"/>
      <c r="H23" s="180"/>
      <c r="I23" s="180"/>
      <c r="J23" s="180"/>
      <c r="K23" s="180"/>
      <c r="L23" s="180"/>
      <c r="M23" s="180"/>
    </row>
    <row r="24" spans="1:13" x14ac:dyDescent="0.2">
      <c r="A24" s="180"/>
      <c r="B24" s="181" t="s">
        <v>143</v>
      </c>
      <c r="C24" s="180"/>
      <c r="D24" s="180"/>
      <c r="E24" s="180"/>
      <c r="F24" s="180"/>
      <c r="G24" s="180"/>
      <c r="H24" s="180"/>
      <c r="I24" s="180"/>
      <c r="J24" s="180"/>
      <c r="K24" s="180"/>
      <c r="L24" s="180"/>
      <c r="M24" s="180"/>
    </row>
    <row r="25" spans="1:13" x14ac:dyDescent="0.2">
      <c r="A25" s="180"/>
      <c r="B25" s="180" t="s">
        <v>147</v>
      </c>
      <c r="C25" s="180"/>
      <c r="D25" s="180"/>
      <c r="E25" s="180"/>
      <c r="F25" s="180"/>
      <c r="G25" s="180"/>
      <c r="H25" s="180"/>
      <c r="I25" s="180"/>
      <c r="J25" s="180"/>
      <c r="K25" s="180"/>
      <c r="L25" s="180"/>
      <c r="M25" s="180"/>
    </row>
    <row r="26" spans="1:13" x14ac:dyDescent="0.2">
      <c r="A26" s="180"/>
      <c r="B26" s="180"/>
      <c r="C26" s="180"/>
      <c r="D26" s="180"/>
      <c r="E26" s="180"/>
      <c r="F26" s="180"/>
      <c r="G26" s="180"/>
      <c r="H26" s="180"/>
      <c r="I26" s="180"/>
      <c r="J26" s="180"/>
      <c r="K26" s="180"/>
      <c r="L26" s="180"/>
      <c r="M26" s="180"/>
    </row>
    <row r="27" spans="1:13" x14ac:dyDescent="0.2">
      <c r="A27" s="180"/>
      <c r="B27" s="180"/>
      <c r="C27" s="180"/>
      <c r="D27" s="180"/>
      <c r="E27" s="180"/>
      <c r="F27" s="180"/>
      <c r="G27" s="180"/>
      <c r="H27" s="180"/>
      <c r="I27" s="180"/>
      <c r="J27" s="180"/>
      <c r="K27" s="180"/>
      <c r="L27" s="180"/>
      <c r="M27" s="180"/>
    </row>
    <row r="28" spans="1:13" x14ac:dyDescent="0.2">
      <c r="A28" s="180"/>
      <c r="B28" s="180"/>
      <c r="C28" s="180"/>
      <c r="D28" s="180"/>
      <c r="E28" s="180"/>
      <c r="F28" s="180"/>
      <c r="G28" s="180"/>
      <c r="H28" s="180"/>
      <c r="I28" s="180"/>
      <c r="J28" s="180"/>
      <c r="K28" s="180"/>
      <c r="L28" s="180"/>
      <c r="M28" s="180"/>
    </row>
    <row r="29" spans="1:13" x14ac:dyDescent="0.2">
      <c r="A29" s="180"/>
      <c r="B29" s="180"/>
      <c r="C29" s="180"/>
      <c r="D29" s="180"/>
      <c r="E29" s="180"/>
      <c r="F29" s="180"/>
      <c r="G29" s="180"/>
      <c r="H29" s="180"/>
      <c r="I29" s="180"/>
      <c r="J29" s="180"/>
      <c r="K29" s="180"/>
      <c r="L29" s="180"/>
      <c r="M29" s="180"/>
    </row>
    <row r="30" spans="1:13" x14ac:dyDescent="0.2">
      <c r="A30" s="180"/>
      <c r="B30" s="180"/>
      <c r="C30" s="180"/>
      <c r="D30" s="180"/>
      <c r="E30" s="180"/>
      <c r="F30" s="180"/>
      <c r="G30" s="180"/>
      <c r="H30" s="180"/>
      <c r="I30" s="180"/>
      <c r="J30" s="180"/>
      <c r="K30" s="180"/>
      <c r="L30" s="180"/>
      <c r="M30" s="180"/>
    </row>
    <row r="31" spans="1:13" x14ac:dyDescent="0.2">
      <c r="A31" s="180"/>
      <c r="B31" s="180"/>
      <c r="C31" s="180"/>
      <c r="D31" s="180"/>
      <c r="E31" s="180"/>
      <c r="F31" s="180"/>
      <c r="G31" s="180"/>
      <c r="H31" s="180"/>
      <c r="I31" s="180"/>
      <c r="J31" s="180"/>
      <c r="K31" s="180"/>
      <c r="L31" s="180"/>
      <c r="M31" s="180"/>
    </row>
    <row r="32" spans="1:13" x14ac:dyDescent="0.2">
      <c r="A32" s="180"/>
      <c r="B32" s="180"/>
      <c r="C32" s="180"/>
      <c r="D32" s="180"/>
      <c r="E32" s="180"/>
      <c r="F32" s="180"/>
      <c r="G32" s="180"/>
      <c r="H32" s="180"/>
      <c r="I32" s="180"/>
      <c r="J32" s="180"/>
      <c r="K32" s="180"/>
      <c r="L32" s="180"/>
      <c r="M32" s="180"/>
    </row>
    <row r="33" spans="1:13" x14ac:dyDescent="0.2">
      <c r="A33" s="180"/>
      <c r="B33" s="180"/>
      <c r="C33" s="180"/>
      <c r="D33" s="180"/>
      <c r="E33" s="180"/>
      <c r="F33" s="180"/>
      <c r="G33" s="180"/>
      <c r="H33" s="180"/>
      <c r="I33" s="180"/>
      <c r="J33" s="180"/>
      <c r="K33" s="180"/>
      <c r="L33" s="180"/>
      <c r="M33" s="180"/>
    </row>
    <row r="34" spans="1:13" x14ac:dyDescent="0.2">
      <c r="A34" s="180"/>
      <c r="B34" s="180"/>
      <c r="C34" s="180"/>
      <c r="D34" s="180"/>
      <c r="E34" s="180"/>
      <c r="F34" s="180"/>
      <c r="G34" s="180"/>
      <c r="H34" s="180"/>
      <c r="I34" s="180"/>
      <c r="J34" s="180"/>
      <c r="K34" s="180"/>
      <c r="L34" s="180"/>
      <c r="M34" s="180"/>
    </row>
    <row r="35" spans="1:13" x14ac:dyDescent="0.2">
      <c r="A35" s="180"/>
      <c r="B35" s="180"/>
      <c r="C35" s="180"/>
      <c r="D35" s="180"/>
      <c r="E35" s="180"/>
      <c r="F35" s="180"/>
      <c r="G35" s="180"/>
      <c r="H35" s="180"/>
      <c r="I35" s="180"/>
      <c r="J35" s="180"/>
      <c r="K35" s="180"/>
      <c r="L35" s="180"/>
      <c r="M35" s="180"/>
    </row>
    <row r="36" spans="1:13" x14ac:dyDescent="0.2">
      <c r="A36" s="180"/>
      <c r="B36" s="180"/>
      <c r="C36" s="180"/>
      <c r="D36" s="180"/>
      <c r="E36" s="180"/>
      <c r="F36" s="180"/>
      <c r="G36" s="180"/>
      <c r="H36" s="180"/>
      <c r="I36" s="180"/>
      <c r="J36" s="180"/>
      <c r="K36" s="180"/>
      <c r="L36" s="180"/>
      <c r="M36" s="180"/>
    </row>
    <row r="37" spans="1:13" x14ac:dyDescent="0.2">
      <c r="A37" s="180"/>
      <c r="B37" s="180"/>
      <c r="C37" s="180"/>
      <c r="D37" s="180"/>
      <c r="E37" s="180"/>
      <c r="F37" s="180"/>
      <c r="G37" s="180"/>
      <c r="H37" s="180"/>
      <c r="I37" s="180"/>
      <c r="J37" s="180"/>
      <c r="K37" s="180"/>
      <c r="L37" s="180"/>
      <c r="M37" s="180"/>
    </row>
    <row r="38" spans="1:13" x14ac:dyDescent="0.2">
      <c r="A38" s="180"/>
      <c r="B38" s="180"/>
      <c r="C38" s="180"/>
      <c r="D38" s="180"/>
      <c r="E38" s="180"/>
      <c r="F38" s="180"/>
      <c r="G38" s="180"/>
      <c r="H38" s="180"/>
      <c r="I38" s="180"/>
      <c r="J38" s="180"/>
      <c r="K38" s="180"/>
      <c r="L38" s="180"/>
      <c r="M38" s="180"/>
    </row>
    <row r="39" spans="1:13" x14ac:dyDescent="0.2">
      <c r="A39" s="180"/>
      <c r="B39" s="180"/>
      <c r="C39" s="180"/>
      <c r="D39" s="180"/>
      <c r="E39" s="180"/>
      <c r="F39" s="180"/>
      <c r="G39" s="180"/>
      <c r="H39" s="180"/>
      <c r="I39" s="180"/>
      <c r="J39" s="180"/>
      <c r="K39" s="180"/>
      <c r="L39" s="180"/>
      <c r="M39" s="180"/>
    </row>
    <row r="40" spans="1:13" x14ac:dyDescent="0.2">
      <c r="A40" s="180"/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</row>
    <row r="41" spans="1:13" x14ac:dyDescent="0.2">
      <c r="A41" s="180"/>
      <c r="B41" s="180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</row>
    <row r="42" spans="1:13" x14ac:dyDescent="0.2">
      <c r="A42" s="180"/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</row>
    <row r="43" spans="1:13" x14ac:dyDescent="0.2">
      <c r="A43" s="180"/>
      <c r="B43" s="180"/>
      <c r="C43" s="180"/>
      <c r="D43" s="180"/>
      <c r="E43" s="180"/>
      <c r="F43" s="180"/>
      <c r="G43" s="180"/>
      <c r="H43" s="180"/>
      <c r="I43" s="180"/>
      <c r="J43" s="180"/>
      <c r="K43" s="180"/>
      <c r="L43" s="180"/>
      <c r="M43" s="180"/>
    </row>
    <row r="44" spans="1:13" x14ac:dyDescent="0.2">
      <c r="A44" s="180"/>
      <c r="B44" s="180"/>
      <c r="C44" s="180"/>
      <c r="D44" s="180"/>
      <c r="E44" s="180"/>
      <c r="F44" s="180"/>
      <c r="G44" s="180"/>
      <c r="H44" s="180"/>
      <c r="I44" s="180"/>
      <c r="J44" s="180"/>
      <c r="K44" s="180"/>
      <c r="L44" s="180"/>
      <c r="M44" s="180"/>
    </row>
    <row r="45" spans="1:13" x14ac:dyDescent="0.2">
      <c r="A45" s="180"/>
      <c r="B45" s="180"/>
      <c r="C45" s="180"/>
      <c r="D45" s="180"/>
      <c r="E45" s="180"/>
      <c r="F45" s="180"/>
      <c r="G45" s="180"/>
      <c r="H45" s="180"/>
      <c r="I45" s="180"/>
      <c r="J45" s="180"/>
      <c r="K45" s="180"/>
      <c r="L45" s="180"/>
      <c r="M45" s="180"/>
    </row>
    <row r="46" spans="1:13" x14ac:dyDescent="0.2">
      <c r="A46" s="180"/>
      <c r="B46" s="180"/>
      <c r="C46" s="180"/>
      <c r="D46" s="180"/>
      <c r="E46" s="180"/>
      <c r="F46" s="180"/>
      <c r="G46" s="180"/>
      <c r="H46" s="180"/>
      <c r="I46" s="180"/>
      <c r="J46" s="180"/>
      <c r="K46" s="180"/>
      <c r="L46" s="180"/>
      <c r="M46" s="180"/>
    </row>
    <row r="47" spans="1:13" x14ac:dyDescent="0.2">
      <c r="A47" s="180"/>
      <c r="B47" s="180"/>
      <c r="C47" s="180"/>
      <c r="D47" s="180"/>
      <c r="E47" s="180"/>
      <c r="F47" s="180"/>
      <c r="G47" s="180"/>
      <c r="H47" s="180"/>
      <c r="I47" s="180"/>
      <c r="J47" s="180"/>
      <c r="K47" s="180"/>
      <c r="L47" s="180"/>
      <c r="M47" s="180"/>
    </row>
    <row r="48" spans="1:13" x14ac:dyDescent="0.2">
      <c r="A48" s="180"/>
      <c r="B48" s="180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</row>
    <row r="49" spans="1:13" x14ac:dyDescent="0.2">
      <c r="A49" s="180"/>
      <c r="B49" s="180" t="s">
        <v>148</v>
      </c>
      <c r="C49" s="180"/>
      <c r="D49" s="180"/>
      <c r="E49" s="180"/>
      <c r="F49" s="180"/>
      <c r="G49" s="180"/>
      <c r="H49" s="180"/>
      <c r="I49" s="180"/>
      <c r="J49" s="180"/>
      <c r="K49" s="180"/>
      <c r="L49" s="180"/>
      <c r="M49" s="180"/>
    </row>
    <row r="50" spans="1:13" x14ac:dyDescent="0.2">
      <c r="A50" s="180"/>
      <c r="B50" s="183" t="s">
        <v>149</v>
      </c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</row>
    <row r="51" spans="1:13" x14ac:dyDescent="0.2">
      <c r="A51" s="180"/>
      <c r="B51" s="183" t="s">
        <v>150</v>
      </c>
      <c r="C51" s="180"/>
      <c r="D51" s="180"/>
      <c r="E51" s="180"/>
      <c r="F51" s="180"/>
      <c r="G51" s="180"/>
      <c r="H51" s="180"/>
      <c r="I51" s="180"/>
      <c r="J51" s="180"/>
      <c r="K51" s="180"/>
      <c r="L51" s="180"/>
      <c r="M51" s="180"/>
    </row>
    <row r="52" spans="1:13" ht="13.5" x14ac:dyDescent="0.25">
      <c r="A52" s="180"/>
      <c r="B52" s="180"/>
      <c r="C52" s="184" t="s">
        <v>151</v>
      </c>
      <c r="D52" s="180"/>
      <c r="E52" s="180"/>
      <c r="F52" s="180"/>
      <c r="G52" s="180"/>
      <c r="H52" s="180"/>
      <c r="I52" s="180"/>
      <c r="J52" s="180"/>
      <c r="K52" s="180"/>
      <c r="L52" s="180"/>
      <c r="M52" s="180"/>
    </row>
    <row r="53" spans="1:13" x14ac:dyDescent="0.2">
      <c r="A53" s="180"/>
      <c r="B53" s="180" t="s">
        <v>167</v>
      </c>
      <c r="C53" s="180"/>
      <c r="D53" s="180"/>
      <c r="E53" s="180"/>
      <c r="F53" s="180"/>
      <c r="G53" s="180"/>
      <c r="H53" s="180"/>
      <c r="I53" s="180"/>
      <c r="J53" s="180"/>
      <c r="K53" s="180"/>
      <c r="L53" s="180"/>
      <c r="M53" s="180"/>
    </row>
    <row r="54" spans="1:13" x14ac:dyDescent="0.2">
      <c r="A54" s="180"/>
      <c r="B54" s="180"/>
      <c r="C54" s="180"/>
      <c r="D54" s="180"/>
      <c r="E54" s="180"/>
      <c r="F54" s="180"/>
      <c r="G54" s="180"/>
      <c r="H54" s="180"/>
      <c r="I54" s="180"/>
      <c r="J54" s="180"/>
      <c r="K54" s="180"/>
      <c r="L54" s="180"/>
      <c r="M54" s="180"/>
    </row>
    <row r="55" spans="1:13" x14ac:dyDescent="0.2">
      <c r="A55" s="180"/>
      <c r="B55" s="180"/>
      <c r="C55" s="180"/>
      <c r="D55" s="180"/>
      <c r="E55" s="180"/>
      <c r="F55" s="180"/>
      <c r="G55" s="180"/>
      <c r="H55" s="180"/>
      <c r="I55" s="180"/>
      <c r="J55" s="180"/>
      <c r="K55" s="180"/>
      <c r="L55" s="180"/>
      <c r="M55" s="180"/>
    </row>
    <row r="56" spans="1:13" x14ac:dyDescent="0.2">
      <c r="A56" s="180"/>
      <c r="B56" s="180"/>
      <c r="C56" s="180"/>
      <c r="D56" s="180"/>
      <c r="E56" s="180"/>
      <c r="F56" s="180"/>
      <c r="G56" s="180"/>
      <c r="H56" s="180"/>
      <c r="I56" s="180"/>
      <c r="J56" s="180"/>
      <c r="K56" s="180"/>
      <c r="L56" s="180"/>
      <c r="M56" s="180"/>
    </row>
    <row r="57" spans="1:13" x14ac:dyDescent="0.2">
      <c r="A57" s="180"/>
      <c r="B57" s="180"/>
      <c r="C57" s="180"/>
      <c r="D57" s="180"/>
      <c r="E57" s="180"/>
      <c r="F57" s="180"/>
      <c r="G57" s="180"/>
      <c r="H57" s="180"/>
      <c r="I57" s="180"/>
      <c r="J57" s="180"/>
      <c r="K57" s="180"/>
      <c r="L57" s="180"/>
      <c r="M57" s="180"/>
    </row>
    <row r="58" spans="1:13" x14ac:dyDescent="0.2">
      <c r="A58" s="180"/>
      <c r="B58" s="180"/>
      <c r="C58" s="180"/>
      <c r="D58" s="180"/>
      <c r="E58" s="180"/>
      <c r="F58" s="180"/>
      <c r="G58" s="180"/>
      <c r="H58" s="180"/>
      <c r="I58" s="180"/>
      <c r="J58" s="180"/>
      <c r="K58" s="180"/>
      <c r="L58" s="180"/>
      <c r="M58" s="180"/>
    </row>
    <row r="59" spans="1:13" x14ac:dyDescent="0.2">
      <c r="A59" s="180"/>
      <c r="B59" s="180"/>
      <c r="C59" s="180"/>
      <c r="D59" s="180"/>
      <c r="E59" s="180"/>
      <c r="F59" s="180"/>
      <c r="G59" s="180"/>
      <c r="H59" s="180"/>
      <c r="I59" s="180"/>
      <c r="J59" s="180"/>
      <c r="K59" s="180"/>
      <c r="L59" s="180"/>
      <c r="M59" s="180"/>
    </row>
    <row r="60" spans="1:13" x14ac:dyDescent="0.2">
      <c r="A60" s="180"/>
      <c r="B60" s="180"/>
      <c r="C60" s="180"/>
      <c r="D60" s="180"/>
      <c r="E60" s="180"/>
      <c r="F60" s="180"/>
      <c r="G60" s="180"/>
      <c r="H60" s="180"/>
      <c r="I60" s="180"/>
      <c r="J60" s="180"/>
      <c r="K60" s="180"/>
      <c r="L60" s="180"/>
      <c r="M60" s="180"/>
    </row>
    <row r="61" spans="1:13" x14ac:dyDescent="0.2">
      <c r="A61" s="180"/>
      <c r="B61" s="180"/>
      <c r="C61" s="180"/>
      <c r="D61" s="180"/>
      <c r="E61" s="180"/>
      <c r="F61" s="180"/>
      <c r="G61" s="180"/>
      <c r="H61" s="180"/>
      <c r="I61" s="180"/>
      <c r="J61" s="180"/>
      <c r="K61" s="180"/>
      <c r="L61" s="180"/>
      <c r="M61" s="180"/>
    </row>
    <row r="62" spans="1:13" x14ac:dyDescent="0.2">
      <c r="A62" s="180"/>
      <c r="B62" s="180"/>
      <c r="C62" s="180"/>
      <c r="D62" s="180"/>
      <c r="E62" s="180"/>
      <c r="F62" s="180"/>
      <c r="G62" s="180"/>
      <c r="H62" s="180"/>
      <c r="I62" s="180"/>
      <c r="J62" s="180"/>
      <c r="K62" s="180"/>
      <c r="L62" s="180"/>
      <c r="M62" s="180"/>
    </row>
    <row r="63" spans="1:13" x14ac:dyDescent="0.2">
      <c r="A63" s="180"/>
      <c r="B63" s="180"/>
      <c r="C63" s="180"/>
      <c r="D63" s="180"/>
      <c r="E63" s="180"/>
      <c r="F63" s="180"/>
      <c r="G63" s="180"/>
      <c r="H63" s="180"/>
      <c r="I63" s="180"/>
      <c r="J63" s="180"/>
      <c r="K63" s="180"/>
      <c r="L63" s="180"/>
      <c r="M63" s="180"/>
    </row>
    <row r="64" spans="1:13" x14ac:dyDescent="0.2">
      <c r="A64" s="180"/>
      <c r="B64" s="180"/>
      <c r="C64" s="180"/>
      <c r="D64" s="180"/>
      <c r="E64" s="180"/>
      <c r="F64" s="180"/>
      <c r="G64" s="180"/>
      <c r="H64" s="180"/>
      <c r="I64" s="180"/>
      <c r="J64" s="180"/>
      <c r="K64" s="180"/>
      <c r="L64" s="180"/>
      <c r="M64" s="180"/>
    </row>
    <row r="65" spans="1:13" x14ac:dyDescent="0.2">
      <c r="A65" s="180"/>
      <c r="B65" s="180"/>
      <c r="C65" s="180"/>
      <c r="D65" s="180"/>
      <c r="E65" s="180"/>
      <c r="F65" s="180"/>
      <c r="G65" s="180"/>
      <c r="H65" s="180"/>
      <c r="I65" s="180"/>
      <c r="J65" s="180"/>
      <c r="K65" s="180"/>
      <c r="L65" s="180"/>
      <c r="M65" s="180"/>
    </row>
    <row r="66" spans="1:13" x14ac:dyDescent="0.2">
      <c r="A66" s="180"/>
      <c r="B66" s="180"/>
      <c r="C66" s="180"/>
      <c r="D66" s="180"/>
      <c r="E66" s="180"/>
      <c r="F66" s="180"/>
      <c r="G66" s="180"/>
      <c r="H66" s="180"/>
      <c r="I66" s="180"/>
      <c r="J66" s="180"/>
      <c r="K66" s="180"/>
      <c r="L66" s="180"/>
      <c r="M66" s="180"/>
    </row>
    <row r="67" spans="1:13" x14ac:dyDescent="0.2">
      <c r="A67" s="180"/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</row>
    <row r="68" spans="1:13" x14ac:dyDescent="0.2">
      <c r="A68" s="180"/>
      <c r="B68" s="180"/>
      <c r="C68" s="180"/>
      <c r="D68" s="180"/>
      <c r="E68" s="180"/>
      <c r="F68" s="180"/>
      <c r="G68" s="180"/>
      <c r="H68" s="180"/>
      <c r="I68" s="180"/>
      <c r="J68" s="180"/>
      <c r="K68" s="180"/>
      <c r="L68" s="180"/>
      <c r="M68" s="180"/>
    </row>
    <row r="69" spans="1:13" x14ac:dyDescent="0.2">
      <c r="A69" s="180"/>
      <c r="B69" s="180"/>
      <c r="C69" s="180"/>
      <c r="D69" s="180"/>
      <c r="E69" s="180"/>
      <c r="F69" s="180"/>
      <c r="G69" s="180"/>
      <c r="H69" s="180"/>
      <c r="I69" s="180"/>
      <c r="J69" s="180"/>
      <c r="K69" s="180"/>
      <c r="L69" s="180"/>
      <c r="M69" s="180"/>
    </row>
    <row r="70" spans="1:13" x14ac:dyDescent="0.2">
      <c r="A70" s="180"/>
      <c r="B70" s="181" t="s">
        <v>159</v>
      </c>
      <c r="C70" s="180"/>
      <c r="D70" s="180"/>
      <c r="E70" s="180"/>
      <c r="F70" s="180"/>
      <c r="G70" s="180"/>
      <c r="H70" s="180"/>
      <c r="I70" s="180"/>
      <c r="J70" s="180"/>
      <c r="K70" s="180"/>
      <c r="L70" s="180"/>
      <c r="M70" s="180"/>
    </row>
    <row r="71" spans="1:13" x14ac:dyDescent="0.2">
      <c r="A71" s="180"/>
      <c r="B71" s="180" t="s">
        <v>160</v>
      </c>
      <c r="C71" s="180"/>
      <c r="D71" s="180"/>
      <c r="E71" s="180"/>
      <c r="F71" s="180"/>
      <c r="G71" s="180"/>
      <c r="H71" s="180"/>
      <c r="I71" s="180"/>
      <c r="J71" s="180"/>
      <c r="K71" s="180"/>
      <c r="L71" s="180"/>
      <c r="M71" s="180"/>
    </row>
    <row r="72" spans="1:13" x14ac:dyDescent="0.2">
      <c r="A72" s="180"/>
      <c r="B72" s="180" t="s">
        <v>161</v>
      </c>
      <c r="C72" s="180"/>
      <c r="D72" s="180"/>
      <c r="E72" s="180"/>
      <c r="F72" s="180"/>
      <c r="G72" s="180"/>
      <c r="H72" s="180"/>
      <c r="I72" s="180"/>
      <c r="J72" s="180"/>
      <c r="K72" s="180"/>
      <c r="L72" s="180"/>
      <c r="M72" s="180"/>
    </row>
    <row r="73" spans="1:13" x14ac:dyDescent="0.2">
      <c r="A73" s="180"/>
      <c r="B73" s="180" t="s">
        <v>162</v>
      </c>
      <c r="C73" s="180"/>
      <c r="D73" s="180"/>
      <c r="E73" s="180"/>
      <c r="F73" s="180"/>
      <c r="G73" s="180"/>
      <c r="H73" s="180"/>
      <c r="I73" s="180"/>
      <c r="J73" s="180"/>
      <c r="K73" s="180"/>
      <c r="L73" s="180"/>
      <c r="M73" s="180"/>
    </row>
    <row r="74" spans="1:13" x14ac:dyDescent="0.2">
      <c r="A74" s="180"/>
      <c r="B74" s="180"/>
      <c r="C74" s="180"/>
      <c r="D74" s="180"/>
      <c r="E74" s="180"/>
      <c r="F74" s="180"/>
      <c r="G74" s="180"/>
      <c r="H74" s="180"/>
      <c r="I74" s="180"/>
      <c r="J74" s="180"/>
      <c r="K74" s="180"/>
      <c r="L74" s="180"/>
      <c r="M74" s="180"/>
    </row>
    <row r="75" spans="1:13" x14ac:dyDescent="0.2">
      <c r="A75" s="180"/>
      <c r="B75" s="180" t="s">
        <v>163</v>
      </c>
      <c r="C75" s="180"/>
      <c r="D75" s="180"/>
      <c r="E75" s="180"/>
      <c r="F75" s="180"/>
      <c r="G75" s="180"/>
      <c r="H75" s="180"/>
      <c r="I75" s="180"/>
      <c r="J75" s="180"/>
      <c r="K75" s="180"/>
      <c r="L75" s="180"/>
      <c r="M75" s="180"/>
    </row>
    <row r="76" spans="1:13" x14ac:dyDescent="0.2">
      <c r="A76" s="180"/>
      <c r="B76" s="180"/>
      <c r="C76" s="180"/>
      <c r="D76" s="180"/>
      <c r="E76" s="180"/>
      <c r="F76" s="180"/>
      <c r="G76" s="180"/>
      <c r="H76" s="180"/>
      <c r="I76" s="180"/>
      <c r="J76" s="180"/>
      <c r="K76" s="180"/>
      <c r="L76" s="180"/>
      <c r="M76" s="180"/>
    </row>
    <row r="77" spans="1:13" x14ac:dyDescent="0.2">
      <c r="A77" s="180"/>
      <c r="B77" s="183" t="s">
        <v>164</v>
      </c>
      <c r="C77" s="180"/>
      <c r="D77" s="180"/>
      <c r="E77" s="180"/>
      <c r="F77" s="180"/>
      <c r="G77" s="180"/>
      <c r="H77" s="180"/>
      <c r="I77" s="180"/>
      <c r="J77" s="180"/>
      <c r="K77" s="180"/>
      <c r="L77" s="180"/>
      <c r="M77" s="180"/>
    </row>
    <row r="78" spans="1:13" x14ac:dyDescent="0.2">
      <c r="A78" s="180"/>
      <c r="B78" s="183" t="s">
        <v>165</v>
      </c>
      <c r="C78" s="180"/>
      <c r="D78" s="180"/>
      <c r="E78" s="180"/>
      <c r="F78" s="180"/>
      <c r="G78" s="180"/>
      <c r="H78" s="180"/>
      <c r="I78" s="180"/>
      <c r="J78" s="180"/>
      <c r="K78" s="180"/>
      <c r="L78" s="180"/>
      <c r="M78" s="180"/>
    </row>
    <row r="79" spans="1:13" x14ac:dyDescent="0.2">
      <c r="A79" s="180"/>
      <c r="B79" s="183" t="s">
        <v>166</v>
      </c>
      <c r="C79" s="180"/>
      <c r="D79" s="180"/>
      <c r="E79" s="180"/>
      <c r="F79" s="180"/>
      <c r="G79" s="180"/>
      <c r="H79" s="180"/>
      <c r="I79" s="180"/>
      <c r="J79" s="180"/>
      <c r="K79" s="180"/>
      <c r="L79" s="180"/>
      <c r="M79" s="180"/>
    </row>
    <row r="80" spans="1:13" x14ac:dyDescent="0.2">
      <c r="A80" s="180"/>
      <c r="B80" s="180"/>
      <c r="C80" s="180"/>
      <c r="D80" s="180"/>
      <c r="E80" s="180"/>
      <c r="F80" s="180"/>
      <c r="G80" s="180"/>
      <c r="H80" s="180"/>
      <c r="I80" s="180"/>
      <c r="J80" s="180"/>
      <c r="K80" s="180"/>
      <c r="L80" s="180"/>
      <c r="M80" s="180"/>
    </row>
    <row r="81" spans="1:13" x14ac:dyDescent="0.2">
      <c r="A81" s="180"/>
      <c r="B81" s="180" t="s">
        <v>168</v>
      </c>
      <c r="C81" s="180"/>
      <c r="D81" s="180"/>
      <c r="E81" s="180"/>
      <c r="F81" s="180"/>
      <c r="G81" s="180"/>
      <c r="H81" s="180"/>
      <c r="I81" s="180"/>
      <c r="J81" s="180"/>
      <c r="K81" s="180"/>
      <c r="L81" s="180"/>
      <c r="M81" s="180"/>
    </row>
    <row r="82" spans="1:13" x14ac:dyDescent="0.2">
      <c r="A82" s="180"/>
      <c r="B82" s="180"/>
      <c r="C82" s="180"/>
      <c r="D82" s="180"/>
      <c r="E82" s="180"/>
      <c r="F82" s="180"/>
      <c r="G82" s="180"/>
      <c r="H82" s="180"/>
      <c r="I82" s="180"/>
      <c r="J82" s="180"/>
      <c r="K82" s="180"/>
      <c r="L82" s="180"/>
      <c r="M82" s="180"/>
    </row>
    <row r="83" spans="1:13" ht="13.5" x14ac:dyDescent="0.25">
      <c r="A83" s="180"/>
      <c r="B83" s="180"/>
      <c r="C83" s="184" t="s">
        <v>169</v>
      </c>
      <c r="D83" s="180"/>
      <c r="E83" s="180"/>
      <c r="F83" s="180"/>
      <c r="G83" s="180"/>
      <c r="H83" s="180"/>
      <c r="I83" s="180"/>
      <c r="J83" s="180"/>
      <c r="K83" s="180"/>
      <c r="L83" s="180"/>
      <c r="M83" s="180"/>
    </row>
    <row r="84" spans="1:13" x14ac:dyDescent="0.2">
      <c r="A84" s="180"/>
      <c r="B84" s="180"/>
      <c r="C84" s="180"/>
      <c r="D84" s="180"/>
      <c r="E84" s="180"/>
      <c r="F84" s="180"/>
      <c r="G84" s="180"/>
      <c r="H84" s="180"/>
      <c r="I84" s="180"/>
      <c r="J84" s="180"/>
      <c r="K84" s="180"/>
      <c r="L84" s="180"/>
      <c r="M84" s="180"/>
    </row>
    <row r="85" spans="1:13" x14ac:dyDescent="0.2">
      <c r="A85" s="180"/>
      <c r="B85" s="180"/>
      <c r="C85" s="180"/>
      <c r="D85" s="180"/>
      <c r="E85" s="180"/>
      <c r="F85" s="180"/>
      <c r="G85" s="180"/>
      <c r="H85" s="180"/>
      <c r="I85" s="180"/>
      <c r="J85" s="180"/>
      <c r="K85" s="180"/>
      <c r="L85" s="180"/>
      <c r="M85" s="180"/>
    </row>
    <row r="86" spans="1:13" x14ac:dyDescent="0.2">
      <c r="A86" s="180"/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</row>
    <row r="87" spans="1:13" x14ac:dyDescent="0.2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</row>
    <row r="88" spans="1:13" x14ac:dyDescent="0.2">
      <c r="A88" s="180"/>
      <c r="B88" s="180"/>
      <c r="C88" s="180"/>
      <c r="D88" s="180"/>
      <c r="E88" s="180"/>
      <c r="F88" s="180"/>
      <c r="G88" s="180"/>
      <c r="H88" s="180"/>
      <c r="I88" s="180"/>
      <c r="J88" s="180"/>
      <c r="K88" s="180"/>
      <c r="L88" s="180"/>
      <c r="M88" s="180"/>
    </row>
    <row r="89" spans="1:13" x14ac:dyDescent="0.2">
      <c r="A89" s="180"/>
      <c r="B89" s="180"/>
      <c r="C89" s="180"/>
      <c r="D89" s="180"/>
      <c r="E89" s="180"/>
      <c r="F89" s="180"/>
      <c r="G89" s="180"/>
      <c r="H89" s="180"/>
      <c r="I89" s="180"/>
      <c r="J89" s="180"/>
      <c r="K89" s="180"/>
      <c r="L89" s="180"/>
      <c r="M89" s="180"/>
    </row>
    <row r="90" spans="1:13" x14ac:dyDescent="0.2">
      <c r="A90" s="180"/>
      <c r="B90" s="180"/>
      <c r="C90" s="180"/>
      <c r="D90" s="180"/>
      <c r="E90" s="180"/>
      <c r="F90" s="180"/>
      <c r="G90" s="180"/>
      <c r="H90" s="180"/>
      <c r="I90" s="180"/>
      <c r="J90" s="180"/>
      <c r="K90" s="180"/>
      <c r="L90" s="180"/>
      <c r="M90" s="180"/>
    </row>
    <row r="91" spans="1:13" x14ac:dyDescent="0.2">
      <c r="A91" s="180"/>
      <c r="B91" s="180"/>
      <c r="C91" s="180"/>
      <c r="D91" s="180"/>
      <c r="E91" s="180"/>
      <c r="F91" s="180"/>
      <c r="G91" s="180"/>
      <c r="H91" s="180"/>
      <c r="I91" s="180"/>
      <c r="J91" s="180"/>
      <c r="K91" s="180"/>
      <c r="L91" s="180"/>
      <c r="M91" s="180"/>
    </row>
    <row r="92" spans="1:13" x14ac:dyDescent="0.2">
      <c r="A92" s="180"/>
      <c r="B92" s="180"/>
      <c r="C92" s="180"/>
      <c r="D92" s="180"/>
      <c r="E92" s="180"/>
      <c r="F92" s="180"/>
      <c r="G92" s="180"/>
      <c r="H92" s="180"/>
      <c r="I92" s="180"/>
      <c r="J92" s="180"/>
      <c r="K92" s="180"/>
      <c r="L92" s="180"/>
      <c r="M92" s="180"/>
    </row>
    <row r="93" spans="1:13" x14ac:dyDescent="0.2">
      <c r="A93" s="180"/>
      <c r="B93" s="180"/>
      <c r="C93" s="180"/>
      <c r="D93" s="180"/>
      <c r="E93" s="180"/>
      <c r="F93" s="180"/>
      <c r="G93" s="180"/>
      <c r="H93" s="180"/>
      <c r="I93" s="180"/>
      <c r="J93" s="180"/>
      <c r="K93" s="180"/>
      <c r="L93" s="180"/>
      <c r="M93" s="180"/>
    </row>
    <row r="94" spans="1:13" x14ac:dyDescent="0.2">
      <c r="A94" s="180"/>
      <c r="B94" s="180"/>
      <c r="C94" s="180"/>
      <c r="D94" s="180"/>
      <c r="E94" s="180"/>
      <c r="F94" s="180"/>
      <c r="G94" s="180"/>
      <c r="H94" s="180"/>
      <c r="I94" s="180"/>
      <c r="J94" s="180"/>
      <c r="K94" s="180"/>
      <c r="L94" s="180"/>
      <c r="M94" s="180"/>
    </row>
    <row r="95" spans="1:13" x14ac:dyDescent="0.2">
      <c r="A95" s="180"/>
      <c r="B95" s="180"/>
      <c r="C95" s="180"/>
      <c r="D95" s="180"/>
      <c r="E95" s="180"/>
      <c r="F95" s="180"/>
      <c r="G95" s="180"/>
      <c r="H95" s="180"/>
      <c r="I95" s="180"/>
      <c r="J95" s="180"/>
      <c r="K95" s="180"/>
      <c r="L95" s="180"/>
      <c r="M95" s="180"/>
    </row>
    <row r="96" spans="1:13" x14ac:dyDescent="0.2">
      <c r="A96" s="180"/>
      <c r="B96" s="180"/>
      <c r="C96" s="180"/>
      <c r="D96" s="180"/>
      <c r="E96" s="180"/>
      <c r="F96" s="180"/>
      <c r="G96" s="180"/>
      <c r="H96" s="180"/>
      <c r="I96" s="180"/>
      <c r="J96" s="180"/>
      <c r="K96" s="180"/>
      <c r="L96" s="180"/>
      <c r="M96" s="180"/>
    </row>
    <row r="97" spans="1:13" x14ac:dyDescent="0.2">
      <c r="A97" s="180"/>
      <c r="B97" s="180"/>
      <c r="C97" s="180"/>
      <c r="D97" s="180"/>
      <c r="E97" s="180"/>
      <c r="F97" s="180"/>
      <c r="G97" s="180"/>
      <c r="H97" s="180"/>
      <c r="I97" s="180"/>
      <c r="J97" s="180"/>
      <c r="K97" s="180"/>
      <c r="L97" s="180"/>
      <c r="M97" s="180"/>
    </row>
    <row r="98" spans="1:13" x14ac:dyDescent="0.2">
      <c r="A98" s="180"/>
      <c r="B98" s="180"/>
      <c r="C98" s="180"/>
      <c r="D98" s="180"/>
      <c r="E98" s="180"/>
      <c r="F98" s="180"/>
      <c r="G98" s="180"/>
      <c r="H98" s="180"/>
      <c r="I98" s="180"/>
      <c r="J98" s="180"/>
      <c r="K98" s="180"/>
      <c r="L98" s="180"/>
      <c r="M98" s="180"/>
    </row>
    <row r="99" spans="1:13" x14ac:dyDescent="0.2">
      <c r="A99" s="180"/>
      <c r="B99" s="180"/>
      <c r="C99" s="180"/>
      <c r="D99" s="180"/>
      <c r="E99" s="180"/>
      <c r="F99" s="180"/>
      <c r="G99" s="180"/>
      <c r="H99" s="180"/>
      <c r="I99" s="180"/>
      <c r="J99" s="180"/>
      <c r="K99" s="180"/>
      <c r="L99" s="180"/>
      <c r="M99" s="180"/>
    </row>
    <row r="100" spans="1:13" x14ac:dyDescent="0.2">
      <c r="A100" s="180"/>
      <c r="B100" s="180"/>
      <c r="C100" s="180"/>
      <c r="D100" s="180"/>
      <c r="E100" s="180"/>
      <c r="F100" s="180"/>
      <c r="G100" s="180"/>
      <c r="H100" s="180"/>
      <c r="I100" s="180"/>
      <c r="J100" s="180"/>
      <c r="K100" s="180"/>
      <c r="L100" s="180"/>
      <c r="M100" s="180"/>
    </row>
    <row r="101" spans="1:13" x14ac:dyDescent="0.2">
      <c r="A101" s="180"/>
      <c r="B101" s="180"/>
      <c r="C101" s="180"/>
      <c r="D101" s="180"/>
      <c r="E101" s="180"/>
      <c r="F101" s="180"/>
      <c r="G101" s="180"/>
      <c r="H101" s="180"/>
      <c r="I101" s="180"/>
      <c r="J101" s="180"/>
      <c r="K101" s="180"/>
      <c r="L101" s="180"/>
      <c r="M101" s="180"/>
    </row>
    <row r="102" spans="1:13" x14ac:dyDescent="0.2">
      <c r="A102" s="180"/>
      <c r="B102" s="180"/>
      <c r="C102" s="180"/>
      <c r="D102" s="180"/>
      <c r="E102" s="180"/>
      <c r="F102" s="180"/>
      <c r="G102" s="180"/>
      <c r="H102" s="180"/>
      <c r="I102" s="180"/>
      <c r="J102" s="180"/>
      <c r="K102" s="180"/>
      <c r="L102" s="180"/>
      <c r="M102" s="180"/>
    </row>
    <row r="103" spans="1:13" x14ac:dyDescent="0.2">
      <c r="A103" s="180"/>
      <c r="B103" s="180"/>
      <c r="C103" s="180"/>
      <c r="D103" s="180"/>
      <c r="E103" s="180"/>
      <c r="F103" s="180"/>
      <c r="G103" s="180"/>
      <c r="H103" s="180"/>
      <c r="I103" s="180"/>
      <c r="J103" s="180"/>
      <c r="K103" s="180"/>
      <c r="L103" s="180"/>
      <c r="M103" s="180"/>
    </row>
    <row r="104" spans="1:13" x14ac:dyDescent="0.2">
      <c r="A104" s="180"/>
      <c r="B104" s="180"/>
      <c r="C104" s="180"/>
      <c r="D104" s="180"/>
      <c r="E104" s="180"/>
      <c r="F104" s="180"/>
      <c r="G104" s="180"/>
      <c r="H104" s="180"/>
      <c r="I104" s="180"/>
      <c r="J104" s="180"/>
      <c r="K104" s="180"/>
      <c r="L104" s="180"/>
      <c r="M104" s="180"/>
    </row>
    <row r="105" spans="1:13" x14ac:dyDescent="0.2">
      <c r="A105" s="180"/>
      <c r="B105" s="180"/>
      <c r="C105" s="180"/>
      <c r="D105" s="180"/>
      <c r="E105" s="180"/>
      <c r="F105" s="180"/>
      <c r="G105" s="180"/>
      <c r="H105" s="180"/>
      <c r="I105" s="180"/>
      <c r="J105" s="180"/>
      <c r="K105" s="180"/>
      <c r="L105" s="180"/>
      <c r="M105" s="180"/>
    </row>
    <row r="106" spans="1:13" x14ac:dyDescent="0.2">
      <c r="A106" s="180"/>
      <c r="B106" s="180"/>
      <c r="C106" s="180"/>
      <c r="D106" s="180"/>
      <c r="E106" s="180"/>
      <c r="F106" s="180"/>
      <c r="G106" s="180"/>
      <c r="H106" s="180"/>
      <c r="I106" s="180"/>
      <c r="J106" s="180"/>
      <c r="K106" s="180"/>
      <c r="L106" s="180"/>
      <c r="M106" s="180"/>
    </row>
  </sheetData>
  <hyperlinks>
    <hyperlink ref="B10" r:id="rId1" display="https://energy.sandia.gov/programs/sustainable-transportation/hydrogen/hydrogen-safety-codes-and-standards/hyram/" xr:uid="{4FE68738-92AB-4639-B30E-75E236876CD5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64FA3-350C-4EF5-94FD-2CED2EF8C456}">
  <sheetPr codeName="Sheet19">
    <tabColor rgb="FF92D050"/>
    <pageSetUpPr fitToPage="1"/>
  </sheetPr>
  <dimension ref="A1:Y149"/>
  <sheetViews>
    <sheetView showGridLines="0" defaultGridColor="0" view="pageBreakPreview" colorId="8" zoomScaleNormal="100" zoomScaleSheetLayoutView="100" workbookViewId="0">
      <selection activeCell="H19" sqref="H19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1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1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1" ht="12.75" customHeight="1" x14ac:dyDescent="0.2">
      <c r="A3" s="194" t="s">
        <v>1</v>
      </c>
      <c r="B3" s="195"/>
      <c r="C3" s="195"/>
      <c r="D3" s="195"/>
      <c r="E3" s="195"/>
      <c r="F3" s="195"/>
      <c r="G3" s="195"/>
      <c r="H3" s="195"/>
      <c r="I3" s="195"/>
      <c r="J3" s="21"/>
      <c r="K3" s="22"/>
      <c r="L3" s="8"/>
      <c r="M3" s="19"/>
      <c r="N3" s="185"/>
      <c r="O3" s="185"/>
      <c r="P3" s="185"/>
      <c r="Q3" s="8"/>
      <c r="R3" s="8"/>
      <c r="S3" s="8"/>
      <c r="T3" s="8"/>
    </row>
    <row r="4" spans="1:21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85"/>
      <c r="O4" s="185"/>
      <c r="P4" s="185"/>
      <c r="Q4" s="18"/>
      <c r="R4" s="18"/>
      <c r="S4" s="18"/>
      <c r="T4" s="18"/>
    </row>
    <row r="5" spans="1:21" ht="12.75" customHeight="1" x14ac:dyDescent="0.2">
      <c r="A5" s="24" t="s">
        <v>98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85"/>
      <c r="O5" s="185"/>
      <c r="P5" s="185"/>
      <c r="Q5" s="8"/>
      <c r="R5" s="8"/>
      <c r="S5" s="8"/>
      <c r="T5" s="8"/>
    </row>
    <row r="6" spans="1:21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1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1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1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1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1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1" s="20" customFormat="1" ht="11.25" x14ac:dyDescent="0.2">
      <c r="A12" s="28"/>
      <c r="B12" s="186" t="s">
        <v>37</v>
      </c>
      <c r="C12" s="187"/>
      <c r="D12" s="187"/>
      <c r="E12" s="187"/>
      <c r="F12" s="187"/>
      <c r="G12" s="187"/>
      <c r="H12" s="187"/>
      <c r="I12" s="187"/>
      <c r="J12" s="187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1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1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>N14/$N$26</f>
        <v>0.9</v>
      </c>
      <c r="P14" s="18"/>
      <c r="Q14" s="18"/>
      <c r="R14" s="55" t="s">
        <v>55</v>
      </c>
      <c r="S14" s="18"/>
      <c r="T14" s="18" t="s">
        <v>39</v>
      </c>
      <c r="U14" s="20" t="s">
        <v>91</v>
      </c>
    </row>
    <row r="15" spans="1:21" s="20" customFormat="1" ht="11.25" x14ac:dyDescent="0.2">
      <c r="A15" s="28"/>
      <c r="B15" s="7" t="s">
        <v>29</v>
      </c>
      <c r="C15" s="49"/>
      <c r="D15" s="49"/>
      <c r="E15" s="188" t="s">
        <v>55</v>
      </c>
      <c r="F15" s="188"/>
      <c r="G15" s="188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 t="shared" ref="O15:O25" si="0">N15/$N$26</f>
        <v>0.05</v>
      </c>
      <c r="P15" s="18"/>
      <c r="Q15" s="18"/>
      <c r="R15" s="55" t="s">
        <v>56</v>
      </c>
      <c r="S15" s="18"/>
      <c r="T15" s="18" t="s">
        <v>41</v>
      </c>
      <c r="U15" s="20" t="s">
        <v>92</v>
      </c>
    </row>
    <row r="16" spans="1:21" s="20" customFormat="1" ht="11.25" x14ac:dyDescent="0.2">
      <c r="A16" s="28"/>
      <c r="B16" s="7" t="s">
        <v>38</v>
      </c>
      <c r="C16" s="7"/>
      <c r="D16" s="7"/>
      <c r="E16" s="189" t="s">
        <v>39</v>
      </c>
      <c r="F16" s="189"/>
      <c r="G16" s="189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 t="shared" si="0"/>
        <v>0.05</v>
      </c>
      <c r="P16" s="18"/>
      <c r="Q16" s="18"/>
      <c r="R16" s="55" t="s">
        <v>57</v>
      </c>
      <c r="S16" s="18"/>
      <c r="T16" s="18" t="s">
        <v>42</v>
      </c>
      <c r="U16" s="20" t="s">
        <v>93</v>
      </c>
    </row>
    <row r="17" spans="1:25" s="20" customFormat="1" ht="11.25" x14ac:dyDescent="0.2">
      <c r="A17" s="28"/>
      <c r="B17" s="20" t="s">
        <v>89</v>
      </c>
      <c r="E17" s="189" t="s">
        <v>91</v>
      </c>
      <c r="F17" s="189"/>
      <c r="G17" s="189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B18" s="20" t="s">
        <v>90</v>
      </c>
      <c r="E18" s="191">
        <v>0.35</v>
      </c>
      <c r="F18" s="192"/>
      <c r="G18" s="193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60" t="s">
        <v>8</v>
      </c>
      <c r="C20" s="7"/>
      <c r="D20" s="7"/>
      <c r="E20" s="18"/>
      <c r="F20" s="18"/>
      <c r="G20" s="19" t="s">
        <v>62</v>
      </c>
      <c r="H20" s="60"/>
      <c r="I20" s="18"/>
      <c r="J20" s="18"/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18" t="s">
        <v>30</v>
      </c>
      <c r="C21" s="18"/>
      <c r="D21" s="18"/>
      <c r="E21" s="61">
        <v>15</v>
      </c>
      <c r="F21" s="18" t="s">
        <v>11</v>
      </c>
      <c r="G21" s="58" t="s">
        <v>63</v>
      </c>
      <c r="H21" s="18"/>
      <c r="I21" s="74">
        <v>1.4346450608144481</v>
      </c>
      <c r="J21" s="18" t="s">
        <v>69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18" t="s">
        <v>31</v>
      </c>
      <c r="C22" s="18"/>
      <c r="D22" s="18"/>
      <c r="E22" s="61">
        <v>300</v>
      </c>
      <c r="F22" s="18" t="s">
        <v>34</v>
      </c>
      <c r="G22" s="18" t="s">
        <v>94</v>
      </c>
      <c r="H22" s="18"/>
      <c r="I22" s="74">
        <v>22.452759497901756</v>
      </c>
      <c r="J22" s="58" t="s">
        <v>97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58" t="s">
        <v>32</v>
      </c>
      <c r="C23" s="18"/>
      <c r="D23" s="18"/>
      <c r="E23" s="61">
        <v>10</v>
      </c>
      <c r="F23" s="18" t="s">
        <v>33</v>
      </c>
      <c r="G23" s="18" t="s">
        <v>95</v>
      </c>
      <c r="H23" s="60"/>
      <c r="I23" s="74">
        <v>0.37014194814390766</v>
      </c>
      <c r="J23" s="58" t="s">
        <v>102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58" t="s">
        <v>52</v>
      </c>
      <c r="C24" s="18"/>
      <c r="D24" s="18"/>
      <c r="E24" s="61">
        <v>90</v>
      </c>
      <c r="F24" s="58" t="s">
        <v>53</v>
      </c>
      <c r="G24" s="18" t="s">
        <v>103</v>
      </c>
      <c r="H24" s="62"/>
      <c r="I24" s="74">
        <v>0.95877383099358937</v>
      </c>
      <c r="J24" s="58" t="s">
        <v>96</v>
      </c>
      <c r="K24" s="30"/>
      <c r="L24" s="18"/>
      <c r="M24" s="153" t="s">
        <v>49</v>
      </c>
      <c r="N24" s="57"/>
      <c r="O24" s="158">
        <f t="shared" si="0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18" t="s">
        <v>60</v>
      </c>
      <c r="C25" s="18"/>
      <c r="D25" s="18"/>
      <c r="E25" s="131">
        <v>1</v>
      </c>
      <c r="F25" s="18" t="s">
        <v>61</v>
      </c>
      <c r="G25" s="18"/>
      <c r="H25" s="58"/>
      <c r="I25" s="162"/>
      <c r="J25" s="58"/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35</v>
      </c>
      <c r="C26" s="18"/>
      <c r="D26" s="18"/>
      <c r="E26" s="72">
        <v>15</v>
      </c>
      <c r="F26" s="18" t="s">
        <v>11</v>
      </c>
      <c r="G26" s="58"/>
      <c r="I26" s="162"/>
      <c r="J26" s="5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 t="s">
        <v>36</v>
      </c>
      <c r="C27" s="18"/>
      <c r="D27" s="18"/>
      <c r="E27" s="130">
        <v>1.0129999999999999</v>
      </c>
      <c r="F27" s="18" t="s">
        <v>34</v>
      </c>
      <c r="H27" s="18"/>
      <c r="I27" s="132"/>
      <c r="J27" s="1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18" t="s">
        <v>99</v>
      </c>
      <c r="C28" s="18"/>
      <c r="D28" s="18"/>
      <c r="E28" s="72">
        <v>0</v>
      </c>
      <c r="F28" s="58"/>
      <c r="H28" s="18"/>
      <c r="I28" s="18"/>
      <c r="J28" s="18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58" t="s">
        <v>100</v>
      </c>
      <c r="C29" s="18"/>
      <c r="D29" s="18"/>
      <c r="E29" s="72">
        <v>0</v>
      </c>
      <c r="G29" s="58"/>
      <c r="H29" s="18"/>
      <c r="I29" s="18"/>
      <c r="J29" s="69"/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18" t="s">
        <v>101</v>
      </c>
      <c r="C30" s="18"/>
      <c r="D30" s="18"/>
      <c r="E30" s="72">
        <v>0</v>
      </c>
      <c r="G30" s="18"/>
      <c r="H30" s="18"/>
      <c r="I30" s="18"/>
      <c r="J30" s="1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B31" s="18"/>
      <c r="C31" s="18"/>
      <c r="D31" s="18"/>
      <c r="E31" s="18"/>
      <c r="G31" s="18"/>
      <c r="H31" s="58"/>
      <c r="I31" s="18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B32" s="18"/>
      <c r="C32" s="18"/>
      <c r="D32" s="18"/>
      <c r="E32" s="18"/>
      <c r="G32" s="18"/>
      <c r="H32" s="58"/>
      <c r="I32" s="18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18"/>
      <c r="C33" s="18"/>
      <c r="D33" s="18"/>
      <c r="E33" s="18"/>
      <c r="G33" s="5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B34" s="58"/>
      <c r="C34" s="18"/>
      <c r="D34" s="18"/>
      <c r="E34" s="1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 t="str">
        <f>IF(O67&gt;0,"Input has changed, PSV must be sized again.","")</f>
        <v/>
      </c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 t="str">
        <f>IF(O86&gt;0,"Output has been changed, output should not be changed manually.","")</f>
        <v/>
      </c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0" s="90" customFormat="1" ht="11.25" x14ac:dyDescent="0.2">
      <c r="A65" s="91"/>
      <c r="B65" s="92"/>
      <c r="C65" s="92"/>
      <c r="D65" s="92"/>
      <c r="E65" s="92"/>
      <c r="F65" s="92"/>
      <c r="G65" s="92"/>
      <c r="H65" s="92"/>
      <c r="I65" s="92"/>
      <c r="J65" s="92"/>
      <c r="K65" s="93"/>
      <c r="L65" s="94"/>
      <c r="M65" s="94"/>
      <c r="N65" s="94"/>
      <c r="O65" s="94"/>
      <c r="P65" s="94"/>
      <c r="Q65" s="94"/>
      <c r="R65" s="94"/>
      <c r="S65" s="94"/>
      <c r="T65" s="94"/>
    </row>
    <row r="66" spans="1:20" s="20" customFormat="1" ht="11.25" x14ac:dyDescent="0.2">
      <c r="A66" s="91"/>
      <c r="C66" s="95"/>
      <c r="D66" s="96"/>
      <c r="E66" s="95"/>
      <c r="F66" s="95"/>
      <c r="G66" s="95"/>
      <c r="H66" s="95"/>
      <c r="I66" s="95"/>
      <c r="J66" s="95"/>
      <c r="K66" s="93"/>
      <c r="L66" s="18"/>
      <c r="N66" s="18"/>
      <c r="O66" s="18"/>
      <c r="P66" s="18"/>
      <c r="Q66" s="18"/>
      <c r="R66" s="18"/>
      <c r="S66" s="18"/>
      <c r="T66" s="18"/>
    </row>
    <row r="67" spans="1:20" s="20" customFormat="1" ht="11.25" x14ac:dyDescent="0.2">
      <c r="A67" s="91"/>
      <c r="B67" s="95"/>
      <c r="C67" s="95"/>
      <c r="D67" s="95"/>
      <c r="E67" s="95"/>
      <c r="F67" s="95"/>
      <c r="G67" s="95"/>
      <c r="H67" s="95"/>
      <c r="I67" s="95"/>
      <c r="J67" s="95"/>
      <c r="K67" s="93"/>
      <c r="L67" s="18"/>
      <c r="M67" s="18"/>
      <c r="N67" s="18"/>
      <c r="O67" s="18"/>
      <c r="P67" s="18"/>
      <c r="Q67" s="18"/>
      <c r="R67" s="18"/>
      <c r="S67" s="18"/>
      <c r="T67" s="18"/>
    </row>
    <row r="68" spans="1:20" s="20" customFormat="1" ht="11.25" x14ac:dyDescent="0.2">
      <c r="A68" s="91"/>
      <c r="C68" s="95"/>
      <c r="D68" s="95"/>
      <c r="E68" s="95"/>
      <c r="F68" s="97"/>
      <c r="G68" s="95"/>
      <c r="H68" s="95"/>
      <c r="I68" s="95"/>
      <c r="J68" s="95"/>
      <c r="K68" s="93"/>
      <c r="L68" s="18"/>
      <c r="M68" s="18"/>
      <c r="N68" s="18"/>
      <c r="O68" s="98"/>
      <c r="P68" s="18"/>
      <c r="Q68" s="18"/>
      <c r="R68" s="18"/>
      <c r="S68" s="18"/>
      <c r="T68" s="18"/>
    </row>
    <row r="69" spans="1:20" s="20" customFormat="1" ht="11.25" x14ac:dyDescent="0.2">
      <c r="A69" s="91"/>
      <c r="B69" s="95"/>
      <c r="C69" s="95"/>
      <c r="D69" s="95"/>
      <c r="E69" s="95"/>
      <c r="F69" s="95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0" s="20" customFormat="1" ht="11.25" x14ac:dyDescent="0.2">
      <c r="A70" s="99"/>
      <c r="B70" s="95"/>
      <c r="C70" s="95"/>
      <c r="D70" s="7"/>
      <c r="E70" s="95"/>
      <c r="F70" s="100"/>
      <c r="G70" s="18"/>
      <c r="H70" s="18"/>
      <c r="I70" s="18"/>
      <c r="J70" s="95"/>
      <c r="K70" s="101"/>
      <c r="L70" s="18"/>
      <c r="M70" s="18"/>
      <c r="N70" s="18"/>
      <c r="O70" s="98"/>
      <c r="P70" s="18"/>
      <c r="Q70" s="18"/>
      <c r="R70" s="18"/>
      <c r="S70" s="18"/>
      <c r="T70" s="18"/>
    </row>
    <row r="71" spans="1:20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0" s="20" customFormat="1" ht="10.5" customHeight="1" x14ac:dyDescent="0.2">
      <c r="A72" s="99"/>
      <c r="B72" s="92"/>
      <c r="C72" s="18"/>
      <c r="D72" s="18"/>
      <c r="E72" s="18"/>
      <c r="F72" s="18"/>
      <c r="G72" s="18"/>
      <c r="H72" s="18"/>
      <c r="I72" s="18"/>
      <c r="J72" s="92"/>
      <c r="K72" s="93"/>
      <c r="L72" s="18"/>
      <c r="M72" s="18"/>
      <c r="N72" s="18"/>
      <c r="O72" s="98"/>
      <c r="P72" s="18"/>
      <c r="Q72" s="18"/>
      <c r="R72" s="18"/>
      <c r="S72" s="18"/>
      <c r="T72" s="18"/>
    </row>
    <row r="73" spans="1:20" s="20" customFormat="1" ht="11.25" x14ac:dyDescent="0.2">
      <c r="A73" s="99"/>
      <c r="B73" s="92"/>
      <c r="C73" s="97"/>
      <c r="D73" s="97"/>
      <c r="E73" s="18"/>
      <c r="F73" s="190"/>
      <c r="G73" s="190"/>
      <c r="H73" s="190"/>
      <c r="I73" s="190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0" s="20" customFormat="1" ht="10.5" customHeight="1" x14ac:dyDescent="0.2">
      <c r="A74" s="99"/>
      <c r="B74" s="92"/>
      <c r="C74" s="97"/>
      <c r="D74" s="97"/>
      <c r="E74" s="18"/>
      <c r="F74" s="97"/>
      <c r="G74" s="97"/>
      <c r="H74" s="97"/>
      <c r="I74" s="97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0" s="20" customFormat="1" ht="11.25" x14ac:dyDescent="0.2">
      <c r="A75" s="99"/>
      <c r="B75" s="92"/>
      <c r="C75" s="7"/>
      <c r="D75" s="18"/>
      <c r="E75" s="18"/>
      <c r="F75" s="102"/>
      <c r="G75" s="102"/>
      <c r="H75" s="102"/>
      <c r="I75" s="102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0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0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0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0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0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N85" s="18"/>
      <c r="O85" s="1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M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9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7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18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3"/>
      <c r="G91" s="103"/>
      <c r="H91" s="103"/>
      <c r="I91" s="103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7"/>
      <c r="E93" s="18"/>
      <c r="F93" s="102"/>
      <c r="G93" s="102"/>
      <c r="H93" s="102"/>
      <c r="I93" s="102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18"/>
      <c r="E95" s="18"/>
      <c r="F95" s="103"/>
      <c r="G95" s="103"/>
      <c r="H95" s="103"/>
      <c r="I95" s="103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18"/>
      <c r="C98" s="7"/>
      <c r="D98" s="18"/>
      <c r="E98" s="18"/>
      <c r="F98" s="103"/>
      <c r="G98" s="103"/>
      <c r="H98" s="103"/>
      <c r="I98" s="103"/>
      <c r="J98" s="18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1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2"/>
      <c r="I100" s="102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77"/>
      <c r="G101" s="77"/>
      <c r="H101" s="77"/>
      <c r="I101" s="77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18"/>
      <c r="D102" s="18"/>
      <c r="E102" s="18"/>
      <c r="F102" s="18"/>
      <c r="G102" s="18"/>
      <c r="H102" s="18"/>
      <c r="I102" s="18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92"/>
      <c r="D103" s="18"/>
      <c r="E103" s="104"/>
      <c r="F103" s="105"/>
      <c r="G103" s="105"/>
      <c r="H103" s="105"/>
      <c r="I103" s="105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29"/>
      <c r="F104" s="106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7"/>
      <c r="G105" s="107"/>
      <c r="H105" s="107"/>
      <c r="I105" s="107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8"/>
      <c r="G106" s="109"/>
      <c r="H106" s="109"/>
      <c r="I106" s="108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8"/>
      <c r="H107" s="108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10"/>
      <c r="H108" s="110"/>
      <c r="I108" s="110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08"/>
      <c r="H109" s="108"/>
      <c r="I109" s="108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18"/>
      <c r="D110" s="18"/>
      <c r="E110" s="29"/>
      <c r="F110" s="106"/>
      <c r="G110" s="106"/>
      <c r="H110" s="106"/>
      <c r="I110" s="106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92"/>
      <c r="C112" s="18"/>
      <c r="D112" s="18"/>
      <c r="E112" s="29"/>
      <c r="F112" s="106"/>
      <c r="G112" s="106"/>
      <c r="H112" s="106"/>
      <c r="I112" s="106"/>
      <c r="J112" s="92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8"/>
      <c r="G113" s="108"/>
      <c r="H113" s="108"/>
      <c r="I113" s="108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92"/>
      <c r="D115" s="92"/>
      <c r="E115" s="92"/>
      <c r="F115" s="92"/>
      <c r="G115" s="92"/>
      <c r="H115" s="92"/>
      <c r="I115" s="92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92"/>
      <c r="D116" s="92"/>
      <c r="E116" s="92"/>
      <c r="F116" s="92"/>
      <c r="G116" s="92"/>
      <c r="H116" s="92"/>
      <c r="I116" s="92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112"/>
      <c r="B118" s="113"/>
      <c r="C118" s="113"/>
      <c r="D118" s="113"/>
      <c r="E118" s="113"/>
      <c r="F118" s="113"/>
      <c r="G118" s="114"/>
      <c r="H118" s="113"/>
      <c r="I118" s="113"/>
      <c r="J118" s="113"/>
      <c r="K118" s="115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89"/>
      <c r="B119" s="116"/>
      <c r="C119" s="116"/>
      <c r="D119" s="116"/>
      <c r="E119" s="116"/>
      <c r="F119" s="116"/>
      <c r="G119" s="117"/>
      <c r="H119" s="116"/>
      <c r="I119" s="116"/>
      <c r="J119" s="116"/>
      <c r="K119" s="116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90" customFormat="1" ht="12" x14ac:dyDescent="0.2">
      <c r="A120" s="118"/>
      <c r="B120" s="34"/>
      <c r="C120" s="34"/>
      <c r="D120" s="34"/>
      <c r="E120" s="34"/>
      <c r="F120" s="34"/>
      <c r="G120" s="119"/>
      <c r="H120" s="34"/>
      <c r="I120" s="34"/>
      <c r="J120" s="34"/>
      <c r="K120" s="34"/>
      <c r="L120" s="94"/>
      <c r="M120" s="94"/>
      <c r="N120" s="94"/>
      <c r="O120" s="94"/>
      <c r="P120" s="94"/>
      <c r="Q120" s="94"/>
      <c r="R120" s="94"/>
      <c r="S120" s="94"/>
      <c r="T120" s="94"/>
    </row>
    <row r="121" spans="1:20" s="34" customFormat="1" ht="12.75" customHeight="1" x14ac:dyDescent="0.2">
      <c r="A121" s="118"/>
      <c r="G121" s="119"/>
      <c r="L121" s="31"/>
      <c r="M121" s="31"/>
      <c r="N121" s="31"/>
      <c r="O121" s="31"/>
      <c r="P121" s="31"/>
      <c r="Q121" s="31"/>
      <c r="R121" s="31"/>
      <c r="S121" s="31"/>
      <c r="T121" s="31"/>
    </row>
    <row r="122" spans="1:20" s="34" customFormat="1" ht="12.75" customHeight="1" x14ac:dyDescent="0.2">
      <c r="A122" s="118"/>
      <c r="G122" s="119"/>
      <c r="L122" s="31"/>
      <c r="M122" s="31"/>
      <c r="N122" s="31"/>
      <c r="O122" s="31"/>
      <c r="P122" s="31"/>
      <c r="Q122" s="31"/>
      <c r="R122" s="31"/>
      <c r="S122" s="31"/>
      <c r="T122" s="31"/>
    </row>
    <row r="123" spans="1:20" s="34" customFormat="1" ht="12.75" customHeight="1" x14ac:dyDescent="0.2">
      <c r="A123" s="118"/>
      <c r="G123" s="119"/>
      <c r="L123" s="31"/>
      <c r="M123" s="31"/>
      <c r="N123" s="31"/>
      <c r="O123" s="31"/>
      <c r="P123" s="31"/>
      <c r="Q123" s="31"/>
      <c r="R123" s="31"/>
      <c r="S123" s="31"/>
      <c r="T123" s="31"/>
    </row>
    <row r="124" spans="1:20" s="34" customFormat="1" ht="12.75" customHeight="1" x14ac:dyDescent="0.2">
      <c r="A124" s="118"/>
      <c r="G124" s="11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18"/>
      <c r="G125" s="11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18"/>
      <c r="G126" s="11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18"/>
      <c r="G127" s="11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18"/>
      <c r="G128" s="11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18"/>
      <c r="G129" s="11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18"/>
      <c r="G130" s="11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18"/>
      <c r="G131" s="11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18"/>
      <c r="G132" s="11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18"/>
      <c r="G133" s="11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18"/>
      <c r="G134" s="11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18"/>
      <c r="G135" s="11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18"/>
      <c r="G136" s="11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18"/>
      <c r="G137" s="11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18"/>
      <c r="G138" s="11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18"/>
      <c r="G139" s="11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18"/>
      <c r="G140" s="11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18"/>
      <c r="G141" s="11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18"/>
      <c r="G142" s="11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18"/>
      <c r="G143" s="11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18"/>
      <c r="G144" s="11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20"/>
      <c r="B145" s="9"/>
      <c r="C145" s="9"/>
      <c r="D145" s="9"/>
      <c r="E145" s="9"/>
      <c r="F145" s="9"/>
      <c r="G145" s="121"/>
      <c r="H145" s="9"/>
      <c r="I145" s="9"/>
      <c r="J145" s="9"/>
      <c r="K145" s="9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x14ac:dyDescent="0.2">
      <c r="L146" s="8"/>
      <c r="M146" s="8"/>
      <c r="N146" s="8"/>
      <c r="O146" s="8"/>
      <c r="P146" s="8"/>
      <c r="Q146" s="8"/>
      <c r="R146" s="8"/>
      <c r="S146" s="8"/>
      <c r="T146" s="8"/>
    </row>
    <row r="147" spans="1:20" x14ac:dyDescent="0.2">
      <c r="L147" s="8"/>
      <c r="M147" s="8"/>
      <c r="N147" s="8"/>
      <c r="O147" s="8"/>
      <c r="P147" s="8"/>
      <c r="Q147" s="8"/>
      <c r="R147" s="8"/>
      <c r="S147" s="8"/>
      <c r="T147" s="8"/>
    </row>
    <row r="148" spans="1:20" x14ac:dyDescent="0.2">
      <c r="L148" s="8"/>
      <c r="M148" s="8"/>
      <c r="N148" s="8"/>
      <c r="O148" s="8"/>
      <c r="P148" s="8"/>
      <c r="Q148" s="8"/>
      <c r="R148" s="8"/>
      <c r="S148" s="8"/>
      <c r="T148" s="8"/>
    </row>
    <row r="149" spans="1:20" x14ac:dyDescent="0.2">
      <c r="L149" s="8"/>
      <c r="M149" s="8"/>
      <c r="N149" s="8"/>
      <c r="O149" s="8"/>
      <c r="P149" s="8"/>
      <c r="Q149" s="8"/>
      <c r="R149" s="8"/>
      <c r="S149" s="8"/>
      <c r="T149" s="8"/>
    </row>
  </sheetData>
  <sheetProtection formatCells="0"/>
  <mergeCells count="10">
    <mergeCell ref="E16:G16"/>
    <mergeCell ref="F73:I73"/>
    <mergeCell ref="E17:G17"/>
    <mergeCell ref="E18:G18"/>
    <mergeCell ref="A3:I3"/>
    <mergeCell ref="N3:P3"/>
    <mergeCell ref="N4:P4"/>
    <mergeCell ref="N5:P5"/>
    <mergeCell ref="B12:J12"/>
    <mergeCell ref="E15:G15"/>
  </mergeCells>
  <conditionalFormatting sqref="K26">
    <cfRule type="expression" dxfId="6" priority="2" stopIfTrue="1">
      <formula>$E$16&lt;&gt;"Pilot Remote Sensing Line"</formula>
    </cfRule>
  </conditionalFormatting>
  <dataValidations count="6">
    <dataValidation type="list" allowBlank="1" showInputMessage="1" showErrorMessage="1" sqref="N4:P4" xr:uid="{60D65828-01B0-4220-A4EA-403F6151EF34}">
      <formula1>"Adiabatic Flash,Isentropic Flash, Liquid HEM"</formula1>
    </dataValidation>
    <dataValidation type="list" allowBlank="1" showInputMessage="1" showErrorMessage="1" sqref="J15" xr:uid="{ABBC3CF2-7C7D-4150-8850-3F4A96B86F8C}">
      <formula1>"Gas Relief, Steam relief"</formula1>
    </dataValidation>
    <dataValidation type="list" allowBlank="1" showInputMessage="1" showErrorMessage="1" sqref="N5" xr:uid="{C4F51987-B793-47E2-8906-E02C10A7FC4B}">
      <formula1>"EOS, COSTALD"</formula1>
    </dataValidation>
    <dataValidation type="list" allowBlank="1" showInputMessage="1" showErrorMessage="1" sqref="E16:G16" xr:uid="{CB843612-0C60-4F57-B899-4728775AA006}">
      <formula1>$T$14:$T$17</formula1>
    </dataValidation>
    <dataValidation type="list" allowBlank="1" showInputMessage="1" showErrorMessage="1" sqref="E15:G15" xr:uid="{607D9E3B-93D9-4EA8-93C4-F1216353606D}">
      <formula1>$R$14:$R$18</formula1>
    </dataValidation>
    <dataValidation type="list" allowBlank="1" showInputMessage="1" showErrorMessage="1" sqref="E17:G17" xr:uid="{CC5DFB4D-AA8C-42AE-A607-5D411A80C628}">
      <formula1>$U$14:$U$16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no:&amp;RPage &amp;P of &amp;N</oddFooter>
  </headerFooter>
  <rowBreaks count="1" manualBreakCount="1">
    <brk id="64" max="10" man="1"/>
  </rowBreaks>
  <drawing r:id="rId2"/>
  <legacyDrawing r:id="rId3"/>
  <controls>
    <mc:AlternateContent xmlns:mc="http://schemas.openxmlformats.org/markup-compatibility/2006">
      <mc:Choice Requires="x14">
        <control shapeId="7176" r:id="rId4" name="CommandButton1">
          <controlPr defaultSize="0" autoLine="0" r:id="rId5">
            <anchor moveWithCells="1">
              <from>
                <xdr:col>7</xdr:col>
                <xdr:colOff>390525</xdr:colOff>
                <xdr:row>11</xdr:row>
                <xdr:rowOff>104775</xdr:rowOff>
              </from>
              <to>
                <xdr:col>9</xdr:col>
                <xdr:colOff>9525</xdr:colOff>
                <xdr:row>13</xdr:row>
                <xdr:rowOff>38100</xdr:rowOff>
              </to>
            </anchor>
          </controlPr>
        </control>
      </mc:Choice>
      <mc:Fallback>
        <control shapeId="7176" r:id="rId4" name="CommandButton1"/>
      </mc:Fallback>
    </mc:AlternateContent>
    <mc:AlternateContent xmlns:mc="http://schemas.openxmlformats.org/markup-compatibility/2006">
      <mc:Choice Requires="x14">
        <control shapeId="7169" r:id="rId6" name="Button 1">
          <controlPr defaultSize="0" print="0" autoFill="0" autoPict="0" macro="[1]!PrintSinglePage">
            <anchor moveWithCells="1" sizeWithCells="1">
              <from>
                <xdr:col>9</xdr:col>
                <xdr:colOff>28575</xdr:colOff>
                <xdr:row>5</xdr:row>
                <xdr:rowOff>19050</xdr:rowOff>
              </from>
              <to>
                <xdr:col>10</xdr:col>
                <xdr:colOff>542925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0" r:id="rId7" name="Button 2">
          <controlPr defaultSize="0" print="0" autoFill="0" autoPict="0" macro="[1]!PrintTwoPage">
            <anchor moveWithCells="1" sizeWithCells="1">
              <from>
                <xdr:col>9</xdr:col>
                <xdr:colOff>38100</xdr:colOff>
                <xdr:row>7</xdr:row>
                <xdr:rowOff>76200</xdr:rowOff>
              </from>
              <to>
                <xdr:col>10</xdr:col>
                <xdr:colOff>542925</xdr:colOff>
                <xdr:row>9</xdr:row>
                <xdr:rowOff>9525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FC3EC-00FB-421E-866B-3F13910DF9A5}">
  <sheetPr codeName="Sheet18">
    <tabColor rgb="FF92D050"/>
    <pageSetUpPr fitToPage="1"/>
  </sheetPr>
  <dimension ref="A1:Y150"/>
  <sheetViews>
    <sheetView showGridLines="0" defaultGridColor="0" view="pageBreakPreview" colorId="8" zoomScaleNormal="100" zoomScaleSheetLayoutView="100" workbookViewId="0">
      <selection activeCell="E1" sqref="E1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0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0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0" ht="12.75" customHeight="1" x14ac:dyDescent="0.2">
      <c r="A3" s="194" t="s">
        <v>1</v>
      </c>
      <c r="B3" s="195"/>
      <c r="C3" s="195"/>
      <c r="D3" s="195"/>
      <c r="E3" s="195"/>
      <c r="F3" s="195"/>
      <c r="G3" s="195"/>
      <c r="H3" s="195"/>
      <c r="I3" s="195"/>
      <c r="J3" s="21"/>
      <c r="K3" s="22"/>
      <c r="L3" s="8"/>
      <c r="M3" s="19"/>
      <c r="N3" s="185"/>
      <c r="O3" s="185"/>
      <c r="P3" s="185"/>
      <c r="Q3" s="8"/>
      <c r="R3" s="8"/>
      <c r="S3" s="8"/>
      <c r="T3" s="8"/>
    </row>
    <row r="4" spans="1:20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85"/>
      <c r="O4" s="185"/>
      <c r="P4" s="185"/>
      <c r="Q4" s="18"/>
      <c r="R4" s="18"/>
      <c r="S4" s="18"/>
      <c r="T4" s="18"/>
    </row>
    <row r="5" spans="1:20" ht="12.75" customHeight="1" x14ac:dyDescent="0.2">
      <c r="A5" s="24" t="s">
        <v>76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85"/>
      <c r="O5" s="185"/>
      <c r="P5" s="185"/>
      <c r="Q5" s="8"/>
      <c r="R5" s="8"/>
      <c r="S5" s="8"/>
      <c r="T5" s="8"/>
    </row>
    <row r="6" spans="1:20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0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0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0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0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0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0" s="20" customFormat="1" ht="11.25" x14ac:dyDescent="0.2">
      <c r="A12" s="28"/>
      <c r="B12" s="186" t="s">
        <v>37</v>
      </c>
      <c r="C12" s="187"/>
      <c r="D12" s="187"/>
      <c r="E12" s="187"/>
      <c r="F12" s="187"/>
      <c r="G12" s="187"/>
      <c r="H12" s="187"/>
      <c r="I12" s="187"/>
      <c r="J12" s="187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0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0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>N14/$N$26</f>
        <v>0.9</v>
      </c>
      <c r="P14" s="18"/>
      <c r="Q14" s="18"/>
      <c r="R14" s="55" t="s">
        <v>55</v>
      </c>
      <c r="S14" s="18"/>
      <c r="T14" s="18" t="s">
        <v>39</v>
      </c>
    </row>
    <row r="15" spans="1:20" s="20" customFormat="1" ht="11.25" x14ac:dyDescent="0.2">
      <c r="A15" s="28"/>
      <c r="B15" s="7" t="s">
        <v>29</v>
      </c>
      <c r="C15" s="49"/>
      <c r="D15" s="49"/>
      <c r="E15" s="188" t="s">
        <v>55</v>
      </c>
      <c r="F15" s="188"/>
      <c r="G15" s="188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 t="shared" ref="O15:O25" si="0">N15/$N$26</f>
        <v>0.05</v>
      </c>
      <c r="P15" s="18"/>
      <c r="Q15" s="18"/>
      <c r="R15" s="55" t="s">
        <v>56</v>
      </c>
      <c r="S15" s="18"/>
      <c r="T15" s="18" t="s">
        <v>41</v>
      </c>
    </row>
    <row r="16" spans="1:20" s="20" customFormat="1" ht="11.25" x14ac:dyDescent="0.2">
      <c r="A16" s="28"/>
      <c r="B16" s="7" t="s">
        <v>38</v>
      </c>
      <c r="C16" s="7"/>
      <c r="D16" s="7"/>
      <c r="E16" s="189" t="s">
        <v>41</v>
      </c>
      <c r="F16" s="189"/>
      <c r="G16" s="189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 t="shared" si="0"/>
        <v>0.05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B18" s="60" t="s">
        <v>8</v>
      </c>
      <c r="C18" s="7"/>
      <c r="D18" s="7"/>
      <c r="E18" s="18"/>
      <c r="F18" s="18"/>
      <c r="G18" s="19" t="s">
        <v>62</v>
      </c>
      <c r="H18" s="60"/>
      <c r="I18" s="18"/>
      <c r="J18" s="18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18" t="s">
        <v>30</v>
      </c>
      <c r="C19" s="18"/>
      <c r="D19" s="18"/>
      <c r="E19" s="61">
        <v>15</v>
      </c>
      <c r="F19" s="18" t="s">
        <v>11</v>
      </c>
      <c r="G19" s="58" t="s">
        <v>63</v>
      </c>
      <c r="H19" s="18"/>
      <c r="I19" s="74">
        <v>3.4902385506950537</v>
      </c>
      <c r="J19" s="18" t="s">
        <v>69</v>
      </c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31</v>
      </c>
      <c r="C20" s="18"/>
      <c r="D20" s="18"/>
      <c r="E20" s="61">
        <v>200</v>
      </c>
      <c r="F20" s="18" t="s">
        <v>34</v>
      </c>
      <c r="G20" s="18" t="s">
        <v>83</v>
      </c>
      <c r="H20" s="18"/>
      <c r="I20" s="161">
        <v>511592.12765903503</v>
      </c>
      <c r="J20" s="58" t="s">
        <v>84</v>
      </c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58" t="s">
        <v>32</v>
      </c>
      <c r="C21" s="18"/>
      <c r="D21" s="18"/>
      <c r="E21" s="61">
        <v>10</v>
      </c>
      <c r="F21" s="18" t="s">
        <v>33</v>
      </c>
      <c r="G21" s="18" t="s">
        <v>85</v>
      </c>
      <c r="H21" s="60"/>
      <c r="I21" s="161">
        <v>37110.368313844352</v>
      </c>
      <c r="J21" s="58" t="s">
        <v>88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52</v>
      </c>
      <c r="C22" s="18"/>
      <c r="D22" s="18"/>
      <c r="E22" s="61">
        <v>90</v>
      </c>
      <c r="F22" s="58" t="s">
        <v>53</v>
      </c>
      <c r="G22" s="18" t="s">
        <v>86</v>
      </c>
      <c r="H22" s="62"/>
      <c r="I22" s="160">
        <v>27.830732405993093</v>
      </c>
      <c r="J22" s="58" t="s">
        <v>70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18" t="s">
        <v>60</v>
      </c>
      <c r="C23" s="18"/>
      <c r="D23" s="18"/>
      <c r="E23" s="131">
        <v>1</v>
      </c>
      <c r="F23" s="18" t="s">
        <v>61</v>
      </c>
      <c r="G23" s="18" t="s">
        <v>87</v>
      </c>
      <c r="H23" s="58"/>
      <c r="I23" s="74">
        <v>0.2126523317808986</v>
      </c>
      <c r="J23" s="58" t="s">
        <v>61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18" t="s">
        <v>35</v>
      </c>
      <c r="C24" s="18"/>
      <c r="D24" s="18"/>
      <c r="E24" s="72">
        <v>15</v>
      </c>
      <c r="F24" s="18" t="s">
        <v>11</v>
      </c>
      <c r="G24" s="58"/>
      <c r="I24" s="162"/>
      <c r="J24" s="58"/>
      <c r="K24" s="30"/>
      <c r="L24" s="18"/>
      <c r="M24" s="153" t="s">
        <v>49</v>
      </c>
      <c r="N24" s="57"/>
      <c r="O24" s="158">
        <f t="shared" si="0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18" t="s">
        <v>36</v>
      </c>
      <c r="C25" s="18"/>
      <c r="D25" s="18"/>
      <c r="E25" s="130">
        <v>1.0129999999999999</v>
      </c>
      <c r="F25" s="18" t="s">
        <v>34</v>
      </c>
      <c r="H25" s="18"/>
      <c r="I25" s="132"/>
      <c r="J25" s="18"/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54</v>
      </c>
      <c r="C26" s="18"/>
      <c r="D26" s="18"/>
      <c r="E26" s="72">
        <v>0.93</v>
      </c>
      <c r="F26" s="58" t="s">
        <v>82</v>
      </c>
      <c r="H26" s="18"/>
      <c r="I26" s="18"/>
      <c r="J26" s="1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 t="s">
        <v>77</v>
      </c>
      <c r="C27" s="18"/>
      <c r="D27" s="18"/>
      <c r="E27" s="72">
        <v>0</v>
      </c>
      <c r="F27" s="67" t="s">
        <v>81</v>
      </c>
      <c r="G27" s="58"/>
      <c r="H27" s="18" t="s">
        <v>9</v>
      </c>
      <c r="I27" s="18"/>
      <c r="J27" s="6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7" t="s">
        <v>78</v>
      </c>
      <c r="C28" s="18"/>
      <c r="D28" s="18"/>
      <c r="E28" s="72">
        <v>1</v>
      </c>
      <c r="F28" s="129" t="s">
        <v>70</v>
      </c>
      <c r="G28" s="18"/>
      <c r="H28" s="18"/>
      <c r="I28" s="18"/>
      <c r="J28" s="69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58" t="s">
        <v>79</v>
      </c>
      <c r="C29" s="18"/>
      <c r="D29" s="18"/>
      <c r="E29" s="72">
        <v>20</v>
      </c>
      <c r="F29" s="20" t="s">
        <v>70</v>
      </c>
      <c r="G29" s="58"/>
      <c r="H29" s="18"/>
      <c r="I29" s="18"/>
      <c r="J29" s="69"/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18" t="s">
        <v>80</v>
      </c>
      <c r="C30" s="18"/>
      <c r="D30" s="18"/>
      <c r="E30" s="72">
        <v>0</v>
      </c>
      <c r="F30" s="20" t="s">
        <v>70</v>
      </c>
      <c r="G30" s="18"/>
      <c r="H30" s="18"/>
      <c r="I30" s="18"/>
      <c r="J30" s="1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B31" s="18"/>
      <c r="C31" s="18"/>
      <c r="D31" s="18"/>
      <c r="E31" s="18"/>
      <c r="G31" s="18"/>
      <c r="H31" s="58"/>
      <c r="I31" s="18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B32" s="18"/>
      <c r="C32" s="18"/>
      <c r="D32" s="18"/>
      <c r="E32" s="18"/>
      <c r="G32" s="18"/>
      <c r="H32" s="58"/>
      <c r="I32" s="18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18"/>
      <c r="C33" s="18"/>
      <c r="D33" s="18"/>
      <c r="E33" s="18"/>
      <c r="G33" s="5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B34" s="58"/>
      <c r="C34" s="18"/>
      <c r="D34" s="18"/>
      <c r="E34" s="1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 t="str">
        <f>IF(O68&gt;0,"Input has changed, PSV must be sized again.","")</f>
        <v/>
      </c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/>
      <c r="C58" s="18"/>
      <c r="D58" s="18"/>
      <c r="E58" s="18"/>
      <c r="G58" s="18"/>
      <c r="H58" s="18"/>
      <c r="I58" s="18"/>
      <c r="J58" s="18"/>
      <c r="K58" s="30"/>
      <c r="L58" s="85"/>
      <c r="M58" s="7"/>
      <c r="N58" s="148"/>
      <c r="O58" s="62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43"/>
      <c r="B64" s="44"/>
      <c r="C64" s="44"/>
      <c r="D64" s="44"/>
      <c r="E64" s="44"/>
      <c r="F64" s="87"/>
      <c r="G64" s="44"/>
      <c r="H64" s="44"/>
      <c r="I64" s="44"/>
      <c r="J64" s="44"/>
      <c r="K64" s="45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5" s="20" customFormat="1" ht="11.25" x14ac:dyDescent="0.2">
      <c r="A65" s="125"/>
      <c r="B65" s="126"/>
      <c r="C65" s="126"/>
      <c r="D65" s="126"/>
      <c r="E65" s="126"/>
      <c r="F65" s="126"/>
      <c r="G65" s="126"/>
      <c r="H65" s="127"/>
      <c r="I65" s="126"/>
      <c r="J65" s="126"/>
      <c r="K65" s="128"/>
      <c r="L65" s="85"/>
      <c r="M65" s="85"/>
      <c r="N65" s="88"/>
      <c r="O65" s="62"/>
      <c r="P65" s="36"/>
      <c r="Q65" s="36"/>
      <c r="R65" s="36"/>
      <c r="S65" s="36"/>
      <c r="T65" s="36"/>
      <c r="U65" s="80"/>
      <c r="V65" s="18"/>
      <c r="W65" s="18"/>
      <c r="X65" s="83"/>
      <c r="Y65" s="58"/>
    </row>
    <row r="66" spans="1:25" s="90" customFormat="1" ht="11.25" x14ac:dyDescent="0.2">
      <c r="A66" s="91"/>
      <c r="B66" s="92"/>
      <c r="C66" s="92"/>
      <c r="D66" s="92"/>
      <c r="E66" s="92"/>
      <c r="F66" s="92"/>
      <c r="G66" s="92"/>
      <c r="H66" s="92"/>
      <c r="I66" s="92"/>
      <c r="J66" s="92"/>
      <c r="K66" s="93"/>
      <c r="L66" s="94"/>
      <c r="M66" s="94"/>
      <c r="N66" s="94"/>
      <c r="O66" s="94"/>
      <c r="P66" s="94"/>
      <c r="Q66" s="94"/>
      <c r="R66" s="94"/>
      <c r="S66" s="94"/>
      <c r="T66" s="94"/>
    </row>
    <row r="67" spans="1:25" s="20" customFormat="1" ht="11.25" x14ac:dyDescent="0.2">
      <c r="A67" s="91"/>
      <c r="C67" s="95"/>
      <c r="D67" s="96"/>
      <c r="E67" s="95"/>
      <c r="F67" s="95"/>
      <c r="G67" s="95"/>
      <c r="H67" s="95"/>
      <c r="I67" s="95"/>
      <c r="J67" s="95"/>
      <c r="K67" s="93"/>
      <c r="L67" s="18"/>
      <c r="N67" s="18"/>
      <c r="O67" s="18"/>
      <c r="P67" s="18"/>
      <c r="Q67" s="18"/>
      <c r="R67" s="18"/>
      <c r="S67" s="18"/>
      <c r="T67" s="18"/>
    </row>
    <row r="68" spans="1:25" s="20" customFormat="1" ht="11.25" x14ac:dyDescent="0.2">
      <c r="A68" s="91"/>
      <c r="B68" s="95"/>
      <c r="C68" s="95"/>
      <c r="D68" s="95"/>
      <c r="E68" s="95"/>
      <c r="F68" s="95"/>
      <c r="G68" s="95"/>
      <c r="H68" s="95"/>
      <c r="I68" s="95"/>
      <c r="J68" s="95"/>
      <c r="K68" s="93"/>
      <c r="L68" s="18"/>
      <c r="M68" s="18"/>
      <c r="N68" s="18"/>
      <c r="O68" s="18"/>
      <c r="P68" s="18"/>
      <c r="Q68" s="18"/>
      <c r="R68" s="18"/>
      <c r="S68" s="18"/>
      <c r="T68" s="18"/>
    </row>
    <row r="69" spans="1:25" s="20" customFormat="1" ht="11.25" x14ac:dyDescent="0.2">
      <c r="A69" s="91"/>
      <c r="C69" s="95"/>
      <c r="D69" s="95"/>
      <c r="E69" s="95"/>
      <c r="F69" s="97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5" s="20" customFormat="1" ht="11.25" x14ac:dyDescent="0.2">
      <c r="A70" s="91"/>
      <c r="B70" s="95"/>
      <c r="C70" s="95"/>
      <c r="D70" s="95"/>
      <c r="E70" s="95"/>
      <c r="F70" s="95"/>
      <c r="G70" s="95"/>
      <c r="H70" s="95"/>
      <c r="I70" s="95"/>
      <c r="J70" s="95"/>
      <c r="K70" s="93"/>
      <c r="L70" s="18"/>
      <c r="M70" s="18"/>
      <c r="N70" s="18"/>
      <c r="O70" s="98"/>
      <c r="P70" s="18"/>
      <c r="Q70" s="18"/>
      <c r="R70" s="18"/>
      <c r="S70" s="18"/>
      <c r="T70" s="18"/>
    </row>
    <row r="71" spans="1:25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5" s="20" customFormat="1" ht="11.25" x14ac:dyDescent="0.2">
      <c r="A72" s="99"/>
      <c r="B72" s="95"/>
      <c r="C72" s="95"/>
      <c r="D72" s="7"/>
      <c r="E72" s="95"/>
      <c r="F72" s="100"/>
      <c r="G72" s="18"/>
      <c r="H72" s="18"/>
      <c r="I72" s="18"/>
      <c r="J72" s="95"/>
      <c r="K72" s="101"/>
      <c r="L72" s="18"/>
      <c r="M72" s="18"/>
      <c r="N72" s="18"/>
      <c r="O72" s="98"/>
      <c r="P72" s="18"/>
      <c r="Q72" s="18"/>
      <c r="R72" s="18"/>
      <c r="S72" s="18"/>
      <c r="T72" s="18"/>
    </row>
    <row r="73" spans="1:25" s="20" customFormat="1" ht="10.5" customHeight="1" x14ac:dyDescent="0.2">
      <c r="A73" s="99"/>
      <c r="B73" s="92"/>
      <c r="C73" s="18"/>
      <c r="D73" s="18"/>
      <c r="E73" s="18"/>
      <c r="F73" s="18"/>
      <c r="G73" s="18"/>
      <c r="H73" s="18"/>
      <c r="I73" s="18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5" s="20" customFormat="1" ht="11.25" x14ac:dyDescent="0.2">
      <c r="A74" s="99"/>
      <c r="B74" s="92"/>
      <c r="C74" s="97"/>
      <c r="D74" s="97"/>
      <c r="E74" s="18"/>
      <c r="F74" s="190"/>
      <c r="G74" s="190"/>
      <c r="H74" s="190"/>
      <c r="I74" s="190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5" s="20" customFormat="1" ht="10.5" customHeight="1" x14ac:dyDescent="0.2">
      <c r="A75" s="99"/>
      <c r="B75" s="92"/>
      <c r="C75" s="97"/>
      <c r="D75" s="97"/>
      <c r="E75" s="18"/>
      <c r="F75" s="97"/>
      <c r="G75" s="97"/>
      <c r="H75" s="97"/>
      <c r="I75" s="97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5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5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5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5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5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M85" s="18"/>
      <c r="N85" s="18"/>
      <c r="O85" s="9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1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18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7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2"/>
      <c r="G91" s="102"/>
      <c r="H91" s="102"/>
      <c r="I91" s="102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18"/>
      <c r="E93" s="18"/>
      <c r="F93" s="103"/>
      <c r="G93" s="103"/>
      <c r="H93" s="103"/>
      <c r="I93" s="103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7"/>
      <c r="E95" s="18"/>
      <c r="F95" s="102"/>
      <c r="G95" s="102"/>
      <c r="H95" s="102"/>
      <c r="I95" s="102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92"/>
      <c r="C98" s="7"/>
      <c r="D98" s="18"/>
      <c r="E98" s="18"/>
      <c r="F98" s="103"/>
      <c r="G98" s="103"/>
      <c r="H98" s="103"/>
      <c r="I98" s="103"/>
      <c r="J98" s="92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9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3"/>
      <c r="I100" s="103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103"/>
      <c r="G101" s="103"/>
      <c r="H101" s="102"/>
      <c r="I101" s="102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7"/>
      <c r="D102" s="18"/>
      <c r="E102" s="18"/>
      <c r="F102" s="77"/>
      <c r="G102" s="77"/>
      <c r="H102" s="77"/>
      <c r="I102" s="77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18"/>
      <c r="D103" s="18"/>
      <c r="E103" s="18"/>
      <c r="F103" s="18"/>
      <c r="G103" s="18"/>
      <c r="H103" s="18"/>
      <c r="I103" s="18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104"/>
      <c r="F104" s="105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6"/>
      <c r="G105" s="105"/>
      <c r="H105" s="105"/>
      <c r="I105" s="105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7"/>
      <c r="G106" s="107"/>
      <c r="H106" s="107"/>
      <c r="I106" s="107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9"/>
      <c r="H107" s="109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08"/>
      <c r="H108" s="108"/>
      <c r="I108" s="108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10"/>
      <c r="H109" s="110"/>
      <c r="I109" s="110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92"/>
      <c r="D110" s="18"/>
      <c r="E110" s="29"/>
      <c r="F110" s="108"/>
      <c r="G110" s="108"/>
      <c r="H110" s="108"/>
      <c r="I110" s="108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18"/>
      <c r="C112" s="18"/>
      <c r="D112" s="18"/>
      <c r="E112" s="29"/>
      <c r="F112" s="106"/>
      <c r="G112" s="106"/>
      <c r="H112" s="106"/>
      <c r="I112" s="106"/>
      <c r="J112" s="18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6"/>
      <c r="G113" s="106"/>
      <c r="H113" s="106"/>
      <c r="I113" s="106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18"/>
      <c r="D115" s="18"/>
      <c r="E115" s="29"/>
      <c r="F115" s="108"/>
      <c r="G115" s="108"/>
      <c r="H115" s="108"/>
      <c r="I115" s="108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18"/>
      <c r="D116" s="18"/>
      <c r="E116" s="29"/>
      <c r="F116" s="108"/>
      <c r="G116" s="111"/>
      <c r="H116" s="111"/>
      <c r="I116" s="111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99"/>
      <c r="B118" s="92"/>
      <c r="C118" s="92"/>
      <c r="D118" s="92"/>
      <c r="E118" s="92"/>
      <c r="F118" s="92"/>
      <c r="G118" s="92"/>
      <c r="H118" s="92"/>
      <c r="I118" s="92"/>
      <c r="J118" s="92"/>
      <c r="K118" s="93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112"/>
      <c r="B119" s="113"/>
      <c r="C119" s="113"/>
      <c r="D119" s="113"/>
      <c r="E119" s="113"/>
      <c r="F119" s="113"/>
      <c r="G119" s="114"/>
      <c r="H119" s="113"/>
      <c r="I119" s="113"/>
      <c r="J119" s="113"/>
      <c r="K119" s="115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20" customFormat="1" ht="11.25" x14ac:dyDescent="0.2">
      <c r="A120" s="89"/>
      <c r="B120" s="116"/>
      <c r="C120" s="116"/>
      <c r="D120" s="116"/>
      <c r="E120" s="116"/>
      <c r="F120" s="116"/>
      <c r="G120" s="117"/>
      <c r="H120" s="116"/>
      <c r="I120" s="116"/>
      <c r="J120" s="116"/>
      <c r="K120" s="116"/>
      <c r="L120" s="18"/>
      <c r="M120" s="18"/>
      <c r="N120" s="18"/>
      <c r="O120" s="18"/>
      <c r="P120" s="18"/>
      <c r="Q120" s="18"/>
      <c r="R120" s="18"/>
      <c r="S120" s="18"/>
      <c r="T120" s="18"/>
    </row>
    <row r="121" spans="1:20" s="90" customFormat="1" ht="12" x14ac:dyDescent="0.2">
      <c r="A121" s="118"/>
      <c r="B121" s="34"/>
      <c r="C121" s="34"/>
      <c r="D121" s="34"/>
      <c r="E121" s="34"/>
      <c r="F121" s="34"/>
      <c r="G121" s="119"/>
      <c r="H121" s="34"/>
      <c r="I121" s="34"/>
      <c r="J121" s="34"/>
      <c r="K121" s="34"/>
      <c r="L121" s="94"/>
      <c r="M121" s="94"/>
      <c r="N121" s="94"/>
      <c r="O121" s="94"/>
      <c r="P121" s="94"/>
      <c r="Q121" s="94"/>
      <c r="R121" s="94"/>
      <c r="S121" s="94"/>
      <c r="T121" s="94"/>
    </row>
    <row r="122" spans="1:20" s="34" customFormat="1" ht="12.75" customHeight="1" x14ac:dyDescent="0.2">
      <c r="A122" s="118"/>
      <c r="G122" s="119"/>
      <c r="L122" s="31"/>
      <c r="M122" s="31"/>
      <c r="N122" s="31"/>
      <c r="O122" s="31"/>
      <c r="P122" s="31"/>
      <c r="Q122" s="31"/>
      <c r="R122" s="31"/>
      <c r="S122" s="31"/>
      <c r="T122" s="31"/>
    </row>
    <row r="123" spans="1:20" s="34" customFormat="1" ht="12.75" customHeight="1" x14ac:dyDescent="0.2">
      <c r="A123" s="118"/>
      <c r="G123" s="119"/>
      <c r="L123" s="31"/>
      <c r="M123" s="31"/>
      <c r="N123" s="31"/>
      <c r="O123" s="31"/>
      <c r="P123" s="31"/>
      <c r="Q123" s="31"/>
      <c r="R123" s="31"/>
      <c r="S123" s="31"/>
      <c r="T123" s="31"/>
    </row>
    <row r="124" spans="1:20" s="34" customFormat="1" ht="12.75" customHeight="1" x14ac:dyDescent="0.2">
      <c r="A124" s="118"/>
      <c r="G124" s="11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18"/>
      <c r="G125" s="11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18"/>
      <c r="G126" s="11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18"/>
      <c r="G127" s="11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18"/>
      <c r="G128" s="11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18"/>
      <c r="G129" s="11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18"/>
      <c r="G130" s="11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18"/>
      <c r="G131" s="11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18"/>
      <c r="G132" s="11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18"/>
      <c r="G133" s="11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18"/>
      <c r="G134" s="11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18"/>
      <c r="G135" s="11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18"/>
      <c r="G136" s="11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18"/>
      <c r="G137" s="11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18"/>
      <c r="G138" s="11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18"/>
      <c r="G139" s="11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18"/>
      <c r="G140" s="11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18"/>
      <c r="G141" s="11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18"/>
      <c r="G142" s="11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18"/>
      <c r="G143" s="11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18"/>
      <c r="G144" s="11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18"/>
      <c r="G145" s="119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s="34" customFormat="1" ht="12.75" customHeight="1" x14ac:dyDescent="0.2">
      <c r="A146" s="120"/>
      <c r="B146" s="9"/>
      <c r="C146" s="9"/>
      <c r="D146" s="9"/>
      <c r="E146" s="9"/>
      <c r="F146" s="9"/>
      <c r="G146" s="121"/>
      <c r="H146" s="9"/>
      <c r="I146" s="9"/>
      <c r="J146" s="9"/>
      <c r="K146" s="9"/>
      <c r="L146" s="31"/>
      <c r="M146" s="31"/>
      <c r="N146" s="31"/>
      <c r="O146" s="31"/>
      <c r="P146" s="31"/>
      <c r="Q146" s="31"/>
      <c r="R146" s="31"/>
      <c r="S146" s="31"/>
      <c r="T146" s="31"/>
    </row>
    <row r="147" spans="1:20" x14ac:dyDescent="0.2">
      <c r="L147" s="8"/>
      <c r="M147" s="8"/>
      <c r="N147" s="8"/>
      <c r="O147" s="8"/>
      <c r="P147" s="8"/>
      <c r="Q147" s="8"/>
      <c r="R147" s="8"/>
      <c r="S147" s="8"/>
      <c r="T147" s="8"/>
    </row>
    <row r="148" spans="1:20" x14ac:dyDescent="0.2">
      <c r="L148" s="8"/>
      <c r="M148" s="8"/>
      <c r="N148" s="8"/>
      <c r="O148" s="8"/>
      <c r="P148" s="8"/>
      <c r="Q148" s="8"/>
      <c r="R148" s="8"/>
      <c r="S148" s="8"/>
      <c r="T148" s="8"/>
    </row>
    <row r="149" spans="1:20" x14ac:dyDescent="0.2">
      <c r="L149" s="8"/>
      <c r="M149" s="8"/>
      <c r="N149" s="8"/>
      <c r="O149" s="8"/>
      <c r="P149" s="8"/>
      <c r="Q149" s="8"/>
      <c r="R149" s="8"/>
      <c r="S149" s="8"/>
      <c r="T149" s="8"/>
    </row>
    <row r="150" spans="1:20" x14ac:dyDescent="0.2">
      <c r="L150" s="8"/>
      <c r="M150" s="8"/>
      <c r="N150" s="8"/>
      <c r="O150" s="8"/>
      <c r="P150" s="8"/>
      <c r="Q150" s="8"/>
      <c r="R150" s="8"/>
      <c r="S150" s="8"/>
      <c r="T150" s="8"/>
    </row>
  </sheetData>
  <sheetProtection formatCells="0"/>
  <mergeCells count="8">
    <mergeCell ref="E16:G16"/>
    <mergeCell ref="F74:I74"/>
    <mergeCell ref="A3:I3"/>
    <mergeCell ref="N3:P3"/>
    <mergeCell ref="N4:P4"/>
    <mergeCell ref="N5:P5"/>
    <mergeCell ref="B12:J12"/>
    <mergeCell ref="E15:G15"/>
  </mergeCells>
  <conditionalFormatting sqref="H27">
    <cfRule type="expression" dxfId="5" priority="1" stopIfTrue="1">
      <formula>$E$16&lt;&gt;"Pilot Remote Sensing Line"</formula>
    </cfRule>
  </conditionalFormatting>
  <conditionalFormatting sqref="K26">
    <cfRule type="expression" dxfId="4" priority="2" stopIfTrue="1">
      <formula>$E$16&lt;&gt;"Pilot Remote Sensing Line"</formula>
    </cfRule>
  </conditionalFormatting>
  <dataValidations count="5">
    <dataValidation type="list" allowBlank="1" showInputMessage="1" showErrorMessage="1" sqref="N4:P4" xr:uid="{08A4DD0E-2D6E-4951-8462-0786BF4C1FBD}">
      <formula1>"Adiabatic Flash,Isentropic Flash, Liquid HEM"</formula1>
    </dataValidation>
    <dataValidation type="list" allowBlank="1" showInputMessage="1" showErrorMessage="1" sqref="J15" xr:uid="{90655DAC-8FA4-4B38-9A11-00A1A815A12C}">
      <formula1>"Gas Relief, Steam relief"</formula1>
    </dataValidation>
    <dataValidation type="list" allowBlank="1" showInputMessage="1" showErrorMessage="1" sqref="N5" xr:uid="{0D2AAC97-8C62-4835-BEC0-02F5ABD2DCA1}">
      <formula1>"EOS, COSTALD"</formula1>
    </dataValidation>
    <dataValidation type="list" allowBlank="1" showInputMessage="1" showErrorMessage="1" sqref="E16:G16" xr:uid="{E422C191-BAF2-469A-A52E-CC9735AFA7E3}">
      <formula1>$T$14:$T$17</formula1>
    </dataValidation>
    <dataValidation type="list" allowBlank="1" showInputMessage="1" showErrorMessage="1" sqref="E15:G15" xr:uid="{934002B0-F9F3-48FD-A3C5-BFAF8D81537E}">
      <formula1>$R$14:$R$18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1" manualBreakCount="1">
    <brk id="65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1]!PrintSinglePage">
                <anchor moveWithCells="1" sizeWithCells="1">
                  <from>
                    <xdr:col>9</xdr:col>
                    <xdr:colOff>28575</xdr:colOff>
                    <xdr:row>5</xdr:row>
                    <xdr:rowOff>19050</xdr:rowOff>
                  </from>
                  <to>
                    <xdr:col>10</xdr:col>
                    <xdr:colOff>542925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1]!PrintTwoPage">
                <anchor moveWithCells="1" sizeWithCells="1">
                  <from>
                    <xdr:col>9</xdr:col>
                    <xdr:colOff>38100</xdr:colOff>
                    <xdr:row>7</xdr:row>
                    <xdr:rowOff>76200</xdr:rowOff>
                  </from>
                  <to>
                    <xdr:col>10</xdr:col>
                    <xdr:colOff>542925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Button 8">
              <controlPr defaultSize="0" print="0" autoFill="0" autoPict="0" macro="[0]!Sheet18.Run_Jet_Flame">
                <anchor moveWithCells="1" sizeWithCells="1">
                  <from>
                    <xdr:col>7</xdr:col>
                    <xdr:colOff>590550</xdr:colOff>
                    <xdr:row>12</xdr:row>
                    <xdr:rowOff>38100</xdr:rowOff>
                  </from>
                  <to>
                    <xdr:col>10</xdr:col>
                    <xdr:colOff>342900</xdr:colOff>
                    <xdr:row>15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2FF62-189C-4B22-9CFF-2A4CB7F3C123}">
  <sheetPr codeName="Sheet17">
    <tabColor rgb="FF92D050"/>
    <pageSetUpPr fitToPage="1"/>
  </sheetPr>
  <dimension ref="A1:Y152"/>
  <sheetViews>
    <sheetView showGridLines="0" defaultGridColor="0" view="pageBreakPreview" colorId="8" zoomScaleNormal="100" zoomScaleSheetLayoutView="100" workbookViewId="0">
      <selection activeCell="B12" sqref="B12:J12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0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0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0" ht="12.75" customHeight="1" x14ac:dyDescent="0.2">
      <c r="A3" s="194" t="e">
        <f>TITLE</f>
        <v>#NAME?</v>
      </c>
      <c r="B3" s="195"/>
      <c r="C3" s="195"/>
      <c r="D3" s="195"/>
      <c r="E3" s="195"/>
      <c r="F3" s="195"/>
      <c r="G3" s="195"/>
      <c r="H3" s="195"/>
      <c r="I3" s="195"/>
      <c r="J3" s="21"/>
      <c r="K3" s="22"/>
      <c r="L3" s="8"/>
      <c r="M3" s="19"/>
      <c r="N3" s="185"/>
      <c r="O3" s="185"/>
      <c r="P3" s="185"/>
      <c r="Q3" s="8"/>
      <c r="R3" s="8"/>
      <c r="S3" s="8"/>
      <c r="T3" s="8"/>
    </row>
    <row r="4" spans="1:20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85"/>
      <c r="O4" s="185"/>
      <c r="P4" s="185"/>
      <c r="Q4" s="18"/>
      <c r="R4" s="18"/>
      <c r="S4" s="18"/>
      <c r="T4" s="18"/>
    </row>
    <row r="5" spans="1:20" ht="12.75" customHeight="1" x14ac:dyDescent="0.2">
      <c r="A5" s="24" t="s">
        <v>75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85"/>
      <c r="O5" s="185"/>
      <c r="P5" s="185"/>
      <c r="Q5" s="8"/>
      <c r="R5" s="8"/>
      <c r="S5" s="8"/>
      <c r="T5" s="8"/>
    </row>
    <row r="6" spans="1:20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0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0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0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0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0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0" s="20" customFormat="1" ht="11.25" x14ac:dyDescent="0.2">
      <c r="A12" s="28"/>
      <c r="B12" s="186" t="s">
        <v>37</v>
      </c>
      <c r="C12" s="187"/>
      <c r="D12" s="187"/>
      <c r="E12" s="187"/>
      <c r="F12" s="187"/>
      <c r="G12" s="187"/>
      <c r="H12" s="187"/>
      <c r="I12" s="187"/>
      <c r="J12" s="187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0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0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/>
      <c r="O14" s="156">
        <f>N14/$N$26</f>
        <v>0</v>
      </c>
      <c r="P14" s="18"/>
      <c r="Q14" s="18"/>
      <c r="R14" s="55" t="s">
        <v>55</v>
      </c>
      <c r="S14" s="18"/>
      <c r="T14" s="18" t="s">
        <v>39</v>
      </c>
    </row>
    <row r="15" spans="1:20" s="20" customFormat="1" ht="11.25" x14ac:dyDescent="0.2">
      <c r="A15" s="28"/>
      <c r="B15" s="7" t="s">
        <v>29</v>
      </c>
      <c r="C15" s="49"/>
      <c r="D15" s="49"/>
      <c r="E15" s="188" t="s">
        <v>55</v>
      </c>
      <c r="F15" s="188"/>
      <c r="G15" s="188"/>
      <c r="H15" s="56"/>
      <c r="I15" s="56"/>
      <c r="J15" s="56"/>
      <c r="K15" s="30"/>
      <c r="L15" s="18"/>
      <c r="M15" s="153" t="s">
        <v>40</v>
      </c>
      <c r="N15" s="57"/>
      <c r="O15" s="157">
        <f t="shared" ref="O15:O25" si="0">N15/$N$26</f>
        <v>0</v>
      </c>
      <c r="P15" s="18"/>
      <c r="Q15" s="18"/>
      <c r="R15" s="55" t="s">
        <v>56</v>
      </c>
      <c r="S15" s="18"/>
      <c r="T15" s="18" t="s">
        <v>41</v>
      </c>
    </row>
    <row r="16" spans="1:20" s="20" customFormat="1" ht="11.25" x14ac:dyDescent="0.2">
      <c r="A16" s="28"/>
      <c r="B16" s="7" t="s">
        <v>38</v>
      </c>
      <c r="C16" s="7"/>
      <c r="D16" s="7"/>
      <c r="E16" s="189" t="s">
        <v>39</v>
      </c>
      <c r="F16" s="189"/>
      <c r="G16" s="189"/>
      <c r="H16" s="7"/>
      <c r="I16" s="7"/>
      <c r="J16" s="7"/>
      <c r="K16" s="30"/>
      <c r="L16" s="18"/>
      <c r="M16" s="153" t="s">
        <v>41</v>
      </c>
      <c r="N16" s="57"/>
      <c r="O16" s="157">
        <f t="shared" si="0"/>
        <v>0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B18" s="60" t="s">
        <v>8</v>
      </c>
      <c r="C18" s="7"/>
      <c r="D18" s="7"/>
      <c r="E18" s="18"/>
      <c r="F18" s="18"/>
      <c r="G18" s="19" t="s">
        <v>62</v>
      </c>
      <c r="H18" s="60"/>
      <c r="I18" s="18"/>
      <c r="J18" s="18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18" t="s">
        <v>30</v>
      </c>
      <c r="C19" s="18"/>
      <c r="D19" s="18"/>
      <c r="E19" s="61">
        <v>15</v>
      </c>
      <c r="F19" s="18" t="s">
        <v>11</v>
      </c>
      <c r="G19" s="58" t="s">
        <v>63</v>
      </c>
      <c r="H19" s="18"/>
      <c r="I19" s="74">
        <v>0.48965345531924864</v>
      </c>
      <c r="J19" s="18" t="s">
        <v>137</v>
      </c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31</v>
      </c>
      <c r="C20" s="18"/>
      <c r="D20" s="18"/>
      <c r="E20" s="61">
        <v>100</v>
      </c>
      <c r="F20" s="18" t="s">
        <v>134</v>
      </c>
      <c r="G20" s="18" t="s">
        <v>64</v>
      </c>
      <c r="H20" s="18"/>
      <c r="I20" s="74">
        <v>23.202196727322672</v>
      </c>
      <c r="J20" s="58" t="s">
        <v>132</v>
      </c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58" t="s">
        <v>32</v>
      </c>
      <c r="C21" s="18"/>
      <c r="D21" s="18"/>
      <c r="E21" s="61">
        <v>10</v>
      </c>
      <c r="F21" s="18" t="s">
        <v>135</v>
      </c>
      <c r="G21" s="18" t="s">
        <v>65</v>
      </c>
      <c r="H21" s="60"/>
      <c r="I21" s="74">
        <v>0</v>
      </c>
      <c r="J21" s="58" t="s">
        <v>132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52</v>
      </c>
      <c r="C22" s="18"/>
      <c r="D22" s="18"/>
      <c r="E22" s="61">
        <v>0</v>
      </c>
      <c r="F22" s="58" t="s">
        <v>136</v>
      </c>
      <c r="G22" s="18" t="s">
        <v>66</v>
      </c>
      <c r="H22" s="62"/>
      <c r="I22" s="74">
        <v>23.765161777688064</v>
      </c>
      <c r="J22" s="58" t="s">
        <v>132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18" t="s">
        <v>60</v>
      </c>
      <c r="C23" s="18"/>
      <c r="D23" s="18"/>
      <c r="E23" s="131">
        <v>1</v>
      </c>
      <c r="F23" s="18" t="s">
        <v>133</v>
      </c>
      <c r="G23" s="18" t="s">
        <v>67</v>
      </c>
      <c r="H23" s="58"/>
      <c r="I23" s="74">
        <v>-0.89336631066115757</v>
      </c>
      <c r="J23" s="58" t="s">
        <v>132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18" t="s">
        <v>35</v>
      </c>
      <c r="C24" s="18"/>
      <c r="D24" s="18"/>
      <c r="E24" s="72">
        <v>15</v>
      </c>
      <c r="F24" s="18" t="s">
        <v>11</v>
      </c>
      <c r="G24" s="58" t="s">
        <v>68</v>
      </c>
      <c r="I24" s="74">
        <v>1.0850520115019697</v>
      </c>
      <c r="J24" s="58" t="s">
        <v>132</v>
      </c>
      <c r="K24" s="30"/>
      <c r="L24" s="18"/>
      <c r="M24" s="153" t="s">
        <v>49</v>
      </c>
      <c r="N24" s="57">
        <v>100</v>
      </c>
      <c r="O24" s="158">
        <f t="shared" si="0"/>
        <v>1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18" t="s">
        <v>36</v>
      </c>
      <c r="C25" s="18"/>
      <c r="D25" s="18"/>
      <c r="E25" s="130">
        <v>1.0129999999999999</v>
      </c>
      <c r="F25" s="18" t="s">
        <v>134</v>
      </c>
      <c r="G25" s="20" t="s">
        <v>74</v>
      </c>
      <c r="H25" s="18"/>
      <c r="I25" s="159">
        <v>0.04</v>
      </c>
      <c r="J25" s="18" t="s">
        <v>133</v>
      </c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54</v>
      </c>
      <c r="C26" s="18"/>
      <c r="D26" s="18"/>
      <c r="E26" s="72" t="s">
        <v>12</v>
      </c>
      <c r="F26" s="58"/>
      <c r="H26" s="18"/>
      <c r="I26" s="18"/>
      <c r="J26" s="1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/>
      <c r="C27" s="18"/>
      <c r="D27" s="18"/>
      <c r="E27" s="18"/>
      <c r="F27" s="67"/>
      <c r="G27" s="58"/>
      <c r="H27" s="18" t="s">
        <v>9</v>
      </c>
      <c r="I27" s="18"/>
      <c r="J27" s="6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7" t="s">
        <v>127</v>
      </c>
      <c r="C28" s="18"/>
      <c r="D28" s="18"/>
      <c r="E28" s="163"/>
      <c r="F28" s="129" t="s">
        <v>133</v>
      </c>
      <c r="G28" s="18" t="s">
        <v>138</v>
      </c>
      <c r="H28" s="18"/>
      <c r="I28" s="163"/>
      <c r="J28" s="129" t="s">
        <v>133</v>
      </c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58" t="s">
        <v>128</v>
      </c>
      <c r="C29" s="18"/>
      <c r="D29" s="18"/>
      <c r="E29" s="72"/>
      <c r="F29" s="20" t="s">
        <v>132</v>
      </c>
      <c r="G29" s="18" t="s">
        <v>130</v>
      </c>
      <c r="H29" s="18"/>
      <c r="I29" s="72"/>
      <c r="J29" s="20" t="s">
        <v>132</v>
      </c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18" t="s">
        <v>129</v>
      </c>
      <c r="C30" s="18"/>
      <c r="D30" s="18"/>
      <c r="E30" s="72"/>
      <c r="F30" s="20" t="s">
        <v>132</v>
      </c>
      <c r="G30" s="18" t="s">
        <v>131</v>
      </c>
      <c r="H30" s="18"/>
      <c r="I30" s="72"/>
      <c r="J30" s="20" t="s">
        <v>132</v>
      </c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G31" s="18"/>
      <c r="H31" s="58"/>
      <c r="I31" s="18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G32" s="18"/>
      <c r="H32" s="58"/>
      <c r="I32" s="18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18"/>
      <c r="C33" s="18"/>
      <c r="D33" s="18"/>
      <c r="E33" s="18"/>
      <c r="G33" s="5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B34" s="58"/>
      <c r="C34" s="18"/>
      <c r="D34" s="18"/>
      <c r="E34" s="1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/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 t="str">
        <f>IF(O86&gt;0,"Output has been changed, output should not be changed manually.","")</f>
        <v/>
      </c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0" s="90" customFormat="1" ht="11.25" x14ac:dyDescent="0.2">
      <c r="A65" s="91"/>
      <c r="B65" s="92"/>
      <c r="C65" s="92"/>
      <c r="D65" s="92"/>
      <c r="E65" s="92"/>
      <c r="F65" s="92"/>
      <c r="G65" s="92"/>
      <c r="H65" s="92"/>
      <c r="I65" s="92"/>
      <c r="J65" s="92"/>
      <c r="K65" s="93"/>
      <c r="L65" s="94"/>
      <c r="M65" s="94"/>
      <c r="N65" s="94"/>
      <c r="O65" s="94"/>
      <c r="P65" s="94"/>
      <c r="Q65" s="94"/>
      <c r="R65" s="94"/>
      <c r="S65" s="94"/>
      <c r="T65" s="94"/>
    </row>
    <row r="66" spans="1:20" s="20" customFormat="1" ht="11.25" x14ac:dyDescent="0.2">
      <c r="A66" s="91"/>
      <c r="C66" s="95"/>
      <c r="D66" s="96"/>
      <c r="E66" s="95"/>
      <c r="F66" s="95"/>
      <c r="G66" s="95"/>
      <c r="H66" s="95"/>
      <c r="I66" s="95"/>
      <c r="J66" s="95"/>
      <c r="K66" s="93"/>
      <c r="L66" s="18"/>
      <c r="N66" s="18"/>
      <c r="O66" s="18"/>
      <c r="P66" s="18"/>
      <c r="Q66" s="18"/>
      <c r="R66" s="18"/>
      <c r="S66" s="18"/>
      <c r="T66" s="18"/>
    </row>
    <row r="67" spans="1:20" s="20" customFormat="1" ht="11.25" x14ac:dyDescent="0.2">
      <c r="A67" s="91"/>
      <c r="B67" s="95"/>
      <c r="C67" s="95"/>
      <c r="D67" s="95"/>
      <c r="E67" s="95"/>
      <c r="F67" s="95"/>
      <c r="G67" s="95"/>
      <c r="H67" s="95"/>
      <c r="I67" s="95"/>
      <c r="J67" s="95"/>
      <c r="K67" s="93"/>
      <c r="L67" s="18"/>
      <c r="M67" s="18"/>
      <c r="N67" s="18"/>
      <c r="O67" s="18"/>
      <c r="P67" s="18"/>
      <c r="Q67" s="18"/>
      <c r="R67" s="18"/>
      <c r="S67" s="18"/>
      <c r="T67" s="18"/>
    </row>
    <row r="68" spans="1:20" s="20" customFormat="1" ht="11.25" x14ac:dyDescent="0.2">
      <c r="A68" s="91"/>
      <c r="C68" s="95"/>
      <c r="D68" s="95"/>
      <c r="E68" s="95"/>
      <c r="F68" s="97"/>
      <c r="G68" s="95"/>
      <c r="H68" s="95"/>
      <c r="I68" s="95"/>
      <c r="J68" s="95"/>
      <c r="K68" s="93"/>
      <c r="L68" s="18"/>
      <c r="M68" s="18"/>
      <c r="N68" s="18"/>
      <c r="O68" s="98"/>
      <c r="P68" s="18"/>
      <c r="Q68" s="18"/>
      <c r="R68" s="18"/>
      <c r="S68" s="18"/>
      <c r="T68" s="18"/>
    </row>
    <row r="69" spans="1:20" s="20" customFormat="1" ht="11.25" x14ac:dyDescent="0.2">
      <c r="A69" s="91"/>
      <c r="B69" s="95"/>
      <c r="C69" s="95"/>
      <c r="D69" s="95"/>
      <c r="E69" s="95"/>
      <c r="F69" s="95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0" s="20" customFormat="1" ht="11.25" x14ac:dyDescent="0.2">
      <c r="A70" s="99"/>
      <c r="B70" s="95"/>
      <c r="C70" s="95"/>
      <c r="D70" s="7"/>
      <c r="E70" s="95"/>
      <c r="F70" s="100"/>
      <c r="G70" s="18"/>
      <c r="H70" s="18"/>
      <c r="I70" s="18"/>
      <c r="J70" s="95"/>
      <c r="K70" s="101"/>
      <c r="L70" s="18"/>
      <c r="M70" s="18"/>
      <c r="N70" s="18"/>
      <c r="O70" s="98"/>
      <c r="P70" s="18"/>
      <c r="Q70" s="18"/>
      <c r="R70" s="18"/>
      <c r="S70" s="18"/>
      <c r="T70" s="18"/>
    </row>
    <row r="71" spans="1:20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0" s="20" customFormat="1" ht="10.5" customHeight="1" x14ac:dyDescent="0.2">
      <c r="A72" s="99"/>
      <c r="B72" s="92"/>
      <c r="C72" s="18"/>
      <c r="D72" s="18"/>
      <c r="E72" s="18"/>
      <c r="F72" s="18"/>
      <c r="G72" s="18"/>
      <c r="H72" s="18"/>
      <c r="I72" s="18"/>
      <c r="J72" s="92"/>
      <c r="K72" s="93"/>
      <c r="L72" s="18"/>
      <c r="M72" s="18"/>
      <c r="N72" s="18"/>
      <c r="O72" s="98"/>
      <c r="P72" s="18"/>
      <c r="Q72" s="18"/>
      <c r="R72" s="18"/>
      <c r="S72" s="18"/>
      <c r="T72" s="18"/>
    </row>
    <row r="73" spans="1:20" s="20" customFormat="1" ht="11.25" x14ac:dyDescent="0.2">
      <c r="A73" s="99"/>
      <c r="B73" s="92"/>
      <c r="C73" s="97"/>
      <c r="D73" s="97"/>
      <c r="E73" s="18"/>
      <c r="F73" s="190"/>
      <c r="G73" s="190"/>
      <c r="H73" s="190"/>
      <c r="I73" s="190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0" s="20" customFormat="1" ht="10.5" customHeight="1" x14ac:dyDescent="0.2">
      <c r="A74" s="99"/>
      <c r="B74" s="92"/>
      <c r="C74" s="97"/>
      <c r="D74" s="97"/>
      <c r="E74" s="18"/>
      <c r="F74" s="97"/>
      <c r="G74" s="97"/>
      <c r="H74" s="97"/>
      <c r="I74" s="97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0" s="20" customFormat="1" ht="11.25" x14ac:dyDescent="0.2">
      <c r="A75" s="99"/>
      <c r="B75" s="92"/>
      <c r="C75" s="7"/>
      <c r="D75" s="18"/>
      <c r="E75" s="18"/>
      <c r="F75" s="102"/>
      <c r="G75" s="102"/>
      <c r="H75" s="102"/>
      <c r="I75" s="102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0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0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0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0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0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N85" s="18"/>
      <c r="O85" s="1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M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9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7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18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3"/>
      <c r="G91" s="103"/>
      <c r="H91" s="103"/>
      <c r="I91" s="103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7"/>
      <c r="E93" s="18"/>
      <c r="F93" s="102"/>
      <c r="G93" s="102"/>
      <c r="H93" s="102"/>
      <c r="I93" s="102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18"/>
      <c r="E95" s="18"/>
      <c r="F95" s="103"/>
      <c r="G95" s="103"/>
      <c r="H95" s="103"/>
      <c r="I95" s="103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18"/>
      <c r="C98" s="7"/>
      <c r="D98" s="18"/>
      <c r="E98" s="18"/>
      <c r="F98" s="103"/>
      <c r="G98" s="103"/>
      <c r="H98" s="103"/>
      <c r="I98" s="103"/>
      <c r="J98" s="18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1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2"/>
      <c r="I100" s="102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77"/>
      <c r="G101" s="77"/>
      <c r="H101" s="77"/>
      <c r="I101" s="77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18"/>
      <c r="D102" s="18"/>
      <c r="E102" s="18"/>
      <c r="F102" s="18"/>
      <c r="G102" s="18"/>
      <c r="H102" s="18"/>
      <c r="I102" s="18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92"/>
      <c r="D103" s="18"/>
      <c r="E103" s="104"/>
      <c r="F103" s="105"/>
      <c r="G103" s="105"/>
      <c r="H103" s="105"/>
      <c r="I103" s="105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29"/>
      <c r="F104" s="106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7"/>
      <c r="G105" s="107"/>
      <c r="H105" s="107"/>
      <c r="I105" s="107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8"/>
      <c r="G106" s="109"/>
      <c r="H106" s="109"/>
      <c r="I106" s="108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8"/>
      <c r="H107" s="108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10"/>
      <c r="H108" s="110"/>
      <c r="I108" s="110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08"/>
      <c r="H109" s="108"/>
      <c r="I109" s="108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18"/>
      <c r="D110" s="18"/>
      <c r="E110" s="29"/>
      <c r="F110" s="106"/>
      <c r="G110" s="106"/>
      <c r="H110" s="106"/>
      <c r="I110" s="106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92"/>
      <c r="C112" s="18"/>
      <c r="D112" s="18"/>
      <c r="E112" s="29"/>
      <c r="F112" s="106"/>
      <c r="G112" s="106"/>
      <c r="H112" s="106"/>
      <c r="I112" s="106"/>
      <c r="J112" s="92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8"/>
      <c r="G113" s="108"/>
      <c r="H113" s="108"/>
      <c r="I113" s="108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18"/>
      <c r="D115" s="18"/>
      <c r="E115" s="29"/>
      <c r="F115" s="108"/>
      <c r="G115" s="111"/>
      <c r="H115" s="111"/>
      <c r="I115" s="111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92"/>
      <c r="D116" s="92"/>
      <c r="E116" s="92"/>
      <c r="F116" s="92"/>
      <c r="G116" s="92"/>
      <c r="H116" s="92"/>
      <c r="I116" s="92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99"/>
      <c r="B118" s="92"/>
      <c r="C118" s="92"/>
      <c r="D118" s="92"/>
      <c r="E118" s="92"/>
      <c r="F118" s="92"/>
      <c r="G118" s="92"/>
      <c r="H118" s="92"/>
      <c r="I118" s="92"/>
      <c r="J118" s="92"/>
      <c r="K118" s="93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99"/>
      <c r="B119" s="92"/>
      <c r="C119" s="92"/>
      <c r="D119" s="92"/>
      <c r="E119" s="92"/>
      <c r="F119" s="92"/>
      <c r="G119" s="92"/>
      <c r="H119" s="92"/>
      <c r="I119" s="92"/>
      <c r="J119" s="92"/>
      <c r="K119" s="93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20" customFormat="1" ht="11.25" x14ac:dyDescent="0.2">
      <c r="A120" s="99"/>
      <c r="B120" s="92"/>
      <c r="C120" s="92"/>
      <c r="D120" s="92"/>
      <c r="E120" s="92"/>
      <c r="F120" s="92"/>
      <c r="G120" s="92"/>
      <c r="H120" s="92"/>
      <c r="I120" s="92"/>
      <c r="J120" s="92"/>
      <c r="K120" s="93"/>
      <c r="L120" s="18"/>
      <c r="M120" s="18"/>
      <c r="N120" s="18"/>
      <c r="O120" s="18"/>
      <c r="P120" s="18"/>
      <c r="Q120" s="18"/>
      <c r="R120" s="18"/>
      <c r="S120" s="18"/>
      <c r="T120" s="18"/>
    </row>
    <row r="121" spans="1:20" s="20" customFormat="1" ht="11.25" x14ac:dyDescent="0.2">
      <c r="A121" s="112"/>
      <c r="B121" s="113"/>
      <c r="C121" s="113"/>
      <c r="D121" s="113"/>
      <c r="E121" s="113"/>
      <c r="F121" s="113"/>
      <c r="G121" s="114"/>
      <c r="H121" s="113"/>
      <c r="I121" s="113"/>
      <c r="J121" s="113"/>
      <c r="K121" s="115"/>
      <c r="L121" s="18"/>
      <c r="M121" s="18"/>
      <c r="N121" s="18"/>
      <c r="O121" s="18"/>
      <c r="P121" s="18"/>
      <c r="Q121" s="18"/>
      <c r="R121" s="18"/>
      <c r="S121" s="18"/>
      <c r="T121" s="18"/>
    </row>
    <row r="122" spans="1:20" s="20" customFormat="1" ht="11.25" x14ac:dyDescent="0.2">
      <c r="A122" s="89" t="str">
        <f>[1]FRONTPAGE!$A$56</f>
        <v>ORS PSV calculation master DRAFT</v>
      </c>
      <c r="B122" s="116"/>
      <c r="C122" s="116"/>
      <c r="D122" s="116"/>
      <c r="E122" s="116"/>
      <c r="F122" s="116"/>
      <c r="G122" s="117"/>
      <c r="H122" s="116"/>
      <c r="I122" s="116"/>
      <c r="J122" s="116"/>
      <c r="K122" s="116"/>
      <c r="L122" s="18"/>
      <c r="M122" s="18"/>
      <c r="N122" s="18"/>
      <c r="O122" s="18"/>
      <c r="P122" s="18"/>
      <c r="Q122" s="18"/>
      <c r="R122" s="18"/>
      <c r="S122" s="18"/>
      <c r="T122" s="18"/>
    </row>
    <row r="123" spans="1:20" s="90" customFormat="1" ht="12" x14ac:dyDescent="0.2">
      <c r="A123" s="118"/>
      <c r="B123" s="34"/>
      <c r="C123" s="34"/>
      <c r="D123" s="34"/>
      <c r="E123" s="34"/>
      <c r="F123" s="34"/>
      <c r="G123" s="119"/>
      <c r="H123" s="34"/>
      <c r="I123" s="34"/>
      <c r="J123" s="34"/>
      <c r="K123" s="34"/>
      <c r="L123" s="94"/>
      <c r="M123" s="94"/>
      <c r="N123" s="94"/>
      <c r="O123" s="94"/>
      <c r="P123" s="94"/>
      <c r="Q123" s="94"/>
      <c r="R123" s="94"/>
      <c r="S123" s="94"/>
      <c r="T123" s="94"/>
    </row>
    <row r="124" spans="1:20" s="34" customFormat="1" ht="12.75" customHeight="1" x14ac:dyDescent="0.2">
      <c r="A124" s="118"/>
      <c r="G124" s="11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18"/>
      <c r="G125" s="11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18"/>
      <c r="G126" s="11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18"/>
      <c r="G127" s="11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18"/>
      <c r="G128" s="11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18"/>
      <c r="G129" s="11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18"/>
      <c r="G130" s="11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18"/>
      <c r="G131" s="11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18"/>
      <c r="G132" s="11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18"/>
      <c r="G133" s="11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18"/>
      <c r="G134" s="11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18"/>
      <c r="G135" s="11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18"/>
      <c r="G136" s="11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18"/>
      <c r="G137" s="11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18"/>
      <c r="G138" s="11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18"/>
      <c r="G139" s="11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18"/>
      <c r="G140" s="11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18"/>
      <c r="G141" s="11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18"/>
      <c r="G142" s="11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18"/>
      <c r="G143" s="11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18"/>
      <c r="G144" s="11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18"/>
      <c r="G145" s="119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s="34" customFormat="1" ht="12.75" customHeight="1" x14ac:dyDescent="0.2">
      <c r="A146" s="118"/>
      <c r="G146" s="119"/>
      <c r="L146" s="31"/>
      <c r="M146" s="31"/>
      <c r="N146" s="31"/>
      <c r="O146" s="31"/>
      <c r="P146" s="31"/>
      <c r="Q146" s="31"/>
      <c r="R146" s="31"/>
      <c r="S146" s="31"/>
      <c r="T146" s="31"/>
    </row>
    <row r="147" spans="1:20" s="34" customFormat="1" ht="12.75" customHeight="1" x14ac:dyDescent="0.2">
      <c r="A147" s="118"/>
      <c r="G147" s="119"/>
      <c r="L147" s="31"/>
      <c r="M147" s="31"/>
      <c r="N147" s="31"/>
      <c r="O147" s="31"/>
      <c r="P147" s="31"/>
      <c r="Q147" s="31"/>
      <c r="R147" s="31"/>
      <c r="S147" s="31"/>
      <c r="T147" s="31"/>
    </row>
    <row r="148" spans="1:20" s="34" customFormat="1" ht="12.75" customHeight="1" x14ac:dyDescent="0.2">
      <c r="A148" s="120"/>
      <c r="B148" s="9"/>
      <c r="C148" s="9"/>
      <c r="D148" s="9"/>
      <c r="E148" s="9"/>
      <c r="F148" s="9"/>
      <c r="G148" s="121"/>
      <c r="H148" s="9"/>
      <c r="I148" s="9"/>
      <c r="J148" s="9"/>
      <c r="K148" s="9"/>
      <c r="L148" s="31"/>
      <c r="M148" s="31"/>
      <c r="N148" s="31"/>
      <c r="O148" s="31"/>
      <c r="P148" s="31"/>
      <c r="Q148" s="31"/>
      <c r="R148" s="31"/>
      <c r="S148" s="31"/>
      <c r="T148" s="31"/>
    </row>
    <row r="149" spans="1:20" x14ac:dyDescent="0.2">
      <c r="L149" s="8"/>
      <c r="M149" s="8"/>
      <c r="N149" s="8"/>
      <c r="O149" s="8"/>
      <c r="P149" s="8"/>
      <c r="Q149" s="8"/>
      <c r="R149" s="8"/>
      <c r="S149" s="8"/>
      <c r="T149" s="8"/>
    </row>
    <row r="150" spans="1:20" x14ac:dyDescent="0.2">
      <c r="L150" s="8"/>
      <c r="M150" s="8"/>
      <c r="N150" s="8"/>
      <c r="O150" s="8"/>
      <c r="P150" s="8"/>
      <c r="Q150" s="8"/>
      <c r="R150" s="8"/>
      <c r="S150" s="8"/>
      <c r="T150" s="8"/>
    </row>
    <row r="151" spans="1:20" x14ac:dyDescent="0.2">
      <c r="L151" s="8"/>
      <c r="M151" s="8"/>
      <c r="N151" s="8"/>
      <c r="O151" s="8"/>
      <c r="P151" s="8"/>
      <c r="Q151" s="8"/>
      <c r="R151" s="8"/>
      <c r="S151" s="8"/>
      <c r="T151" s="8"/>
    </row>
    <row r="152" spans="1:20" x14ac:dyDescent="0.2">
      <c r="L152" s="8"/>
      <c r="M152" s="8"/>
      <c r="N152" s="8"/>
      <c r="O152" s="8"/>
      <c r="P152" s="8"/>
      <c r="Q152" s="8"/>
      <c r="R152" s="8"/>
      <c r="S152" s="8"/>
      <c r="T152" s="8"/>
    </row>
  </sheetData>
  <sheetProtection formatCells="0"/>
  <mergeCells count="8">
    <mergeCell ref="E16:G16"/>
    <mergeCell ref="F73:I73"/>
    <mergeCell ref="A3:I3"/>
    <mergeCell ref="N3:P3"/>
    <mergeCell ref="N4:P4"/>
    <mergeCell ref="N5:P5"/>
    <mergeCell ref="B12:J12"/>
    <mergeCell ref="E15:G15"/>
  </mergeCells>
  <conditionalFormatting sqref="H27">
    <cfRule type="expression" dxfId="3" priority="1" stopIfTrue="1">
      <formula>$E$16&lt;&gt;"Pilot Remote Sensing Line"</formula>
    </cfRule>
  </conditionalFormatting>
  <conditionalFormatting sqref="K26">
    <cfRule type="expression" dxfId="2" priority="2" stopIfTrue="1">
      <formula>$E$16&lt;&gt;"Pilot Remote Sensing Line"</formula>
    </cfRule>
  </conditionalFormatting>
  <dataValidations count="5">
    <dataValidation type="list" allowBlank="1" showInputMessage="1" showErrorMessage="1" sqref="E15:G15" xr:uid="{3FE414CC-0FF5-4143-AEAE-DFBD5DA45FEA}">
      <formula1>$R$14:$R$18</formula1>
    </dataValidation>
    <dataValidation type="list" allowBlank="1" showInputMessage="1" showErrorMessage="1" sqref="E16:G16" xr:uid="{A004B0FD-B9A6-4526-A1FB-6B92FE228D88}">
      <formula1>$T$14:$T$17</formula1>
    </dataValidation>
    <dataValidation type="list" allowBlank="1" showInputMessage="1" showErrorMessage="1" sqref="N5" xr:uid="{A83E28DA-F5DD-42F0-9359-5E7A9FC2C323}">
      <formula1>"EOS, COSTALD"</formula1>
    </dataValidation>
    <dataValidation type="list" allowBlank="1" showInputMessage="1" showErrorMessage="1" sqref="H16" xr:uid="{8DE5A2B4-ADCB-49C8-8E79-974A092A4487}">
      <formula1>$R$17:$R$23</formula1>
    </dataValidation>
    <dataValidation type="list" allowBlank="1" showInputMessage="1" showErrorMessage="1" sqref="N4:P4" xr:uid="{F1F324D7-0C28-45F7-9DC6-C63E7C0B122F}">
      <formula1>"Adiabatic Flash,Isentropic Flash, Liquid HEM"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1" manualBreakCount="1">
    <brk id="64" max="10" man="1"/>
  </rowBreaks>
  <drawing r:id="rId2"/>
  <legacyDrawing r:id="rId3"/>
  <controls>
    <mc:AlternateContent xmlns:mc="http://schemas.openxmlformats.org/markup-compatibility/2006">
      <mc:Choice Requires="x14">
        <control shapeId="3078" r:id="rId4" name="CommandButton1">
          <controlPr defaultSize="0" autoLine="0" autoPict="0" r:id="rId5">
            <anchor moveWithCells="1">
              <from>
                <xdr:col>8</xdr:col>
                <xdr:colOff>190500</xdr:colOff>
                <xdr:row>11</xdr:row>
                <xdr:rowOff>85725</xdr:rowOff>
              </from>
              <to>
                <xdr:col>10</xdr:col>
                <xdr:colOff>247650</xdr:colOff>
                <xdr:row>14</xdr:row>
                <xdr:rowOff>57150</xdr:rowOff>
              </to>
            </anchor>
          </controlPr>
        </control>
      </mc:Choice>
      <mc:Fallback>
        <control shapeId="3078" r:id="rId4" name="CommandButton1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1]!PrintSinglePage">
            <anchor moveWithCells="1" sizeWithCells="1">
              <from>
                <xdr:col>9</xdr:col>
                <xdr:colOff>28575</xdr:colOff>
                <xdr:row>5</xdr:row>
                <xdr:rowOff>19050</xdr:rowOff>
              </from>
              <to>
                <xdr:col>10</xdr:col>
                <xdr:colOff>542925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1]!PrintTwoPage">
            <anchor moveWithCells="1" sizeWithCells="1">
              <from>
                <xdr:col>9</xdr:col>
                <xdr:colOff>38100</xdr:colOff>
                <xdr:row>7</xdr:row>
                <xdr:rowOff>76200</xdr:rowOff>
              </from>
              <to>
                <xdr:col>10</xdr:col>
                <xdr:colOff>542925</xdr:colOff>
                <xdr:row>9</xdr:row>
                <xdr:rowOff>9525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3FE15-E0A3-4C16-98B3-6F689FF1FBA5}">
  <sheetPr codeName="Sheet20">
    <tabColor rgb="FF92D050"/>
    <pageSetUpPr fitToPage="1"/>
  </sheetPr>
  <dimension ref="A1:Y217"/>
  <sheetViews>
    <sheetView showGridLines="0" defaultGridColor="0" view="pageBreakPreview" colorId="8" zoomScaleNormal="100" zoomScaleSheetLayoutView="100" workbookViewId="0">
      <selection activeCell="H1" sqref="H1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1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1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1" ht="12.75" customHeight="1" x14ac:dyDescent="0.2">
      <c r="A3" s="194" t="e">
        <f>TITLE</f>
        <v>#NAME?</v>
      </c>
      <c r="B3" s="195"/>
      <c r="C3" s="195"/>
      <c r="D3" s="195"/>
      <c r="E3" s="195"/>
      <c r="F3" s="195"/>
      <c r="G3" s="195"/>
      <c r="H3" s="195"/>
      <c r="I3" s="195"/>
      <c r="J3" s="21"/>
      <c r="K3" s="22"/>
      <c r="L3" s="8"/>
      <c r="M3" s="19"/>
      <c r="N3" s="185"/>
      <c r="O3" s="185"/>
      <c r="P3" s="185"/>
      <c r="Q3" s="8"/>
      <c r="R3" s="8"/>
      <c r="S3" s="8"/>
      <c r="T3" s="8"/>
    </row>
    <row r="4" spans="1:21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85"/>
      <c r="O4" s="185"/>
      <c r="P4" s="185"/>
      <c r="Q4" s="18"/>
      <c r="R4" s="18"/>
      <c r="S4" s="18"/>
      <c r="T4" s="18"/>
    </row>
    <row r="5" spans="1:21" ht="12.75" customHeight="1" x14ac:dyDescent="0.2">
      <c r="A5" s="24" t="s">
        <v>98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85"/>
      <c r="O5" s="185"/>
      <c r="P5" s="185"/>
      <c r="Q5" s="8"/>
      <c r="R5" s="8"/>
      <c r="S5" s="8"/>
      <c r="T5" s="8"/>
    </row>
    <row r="6" spans="1:21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1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1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1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1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1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1" s="20" customFormat="1" ht="11.25" x14ac:dyDescent="0.2">
      <c r="A12" s="28"/>
      <c r="B12" s="186" t="s">
        <v>37</v>
      </c>
      <c r="C12" s="187"/>
      <c r="D12" s="187"/>
      <c r="E12" s="187"/>
      <c r="F12" s="187"/>
      <c r="G12" s="187"/>
      <c r="H12" s="187"/>
      <c r="I12" s="187"/>
      <c r="J12" s="187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1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1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>N14/$N$26</f>
        <v>0.9</v>
      </c>
      <c r="P14" s="18"/>
      <c r="Q14" s="18"/>
      <c r="R14" s="55" t="s">
        <v>55</v>
      </c>
      <c r="S14" s="18"/>
      <c r="T14" s="18" t="s">
        <v>39</v>
      </c>
      <c r="U14" s="20" t="s">
        <v>106</v>
      </c>
    </row>
    <row r="15" spans="1:21" s="20" customFormat="1" ht="11.25" x14ac:dyDescent="0.2">
      <c r="A15" s="28"/>
      <c r="B15" s="7" t="s">
        <v>29</v>
      </c>
      <c r="C15" s="49"/>
      <c r="D15" s="49"/>
      <c r="E15" s="188" t="s">
        <v>55</v>
      </c>
      <c r="F15" s="188"/>
      <c r="G15" s="188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 t="shared" ref="O15:O25" si="0">N15/$N$26</f>
        <v>0.05</v>
      </c>
      <c r="P15" s="18"/>
      <c r="Q15" s="18"/>
      <c r="R15" s="55" t="s">
        <v>56</v>
      </c>
      <c r="S15" s="18"/>
      <c r="T15" s="18" t="s">
        <v>41</v>
      </c>
      <c r="U15" s="20" t="s">
        <v>107</v>
      </c>
    </row>
    <row r="16" spans="1:21" s="20" customFormat="1" ht="11.25" x14ac:dyDescent="0.2">
      <c r="A16" s="28"/>
      <c r="B16" s="7" t="s">
        <v>38</v>
      </c>
      <c r="C16" s="7"/>
      <c r="D16" s="7"/>
      <c r="E16" s="189" t="s">
        <v>39</v>
      </c>
      <c r="F16" s="189"/>
      <c r="G16" s="189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 t="shared" si="0"/>
        <v>0.05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B17" s="20" t="s">
        <v>108</v>
      </c>
      <c r="E17" s="189" t="s">
        <v>107</v>
      </c>
      <c r="F17" s="189"/>
      <c r="G17" s="189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E18" s="196"/>
      <c r="F18" s="196"/>
      <c r="G18" s="196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60" t="s">
        <v>8</v>
      </c>
      <c r="C19" s="7"/>
      <c r="D19" s="7"/>
      <c r="E19" s="18"/>
      <c r="F19" s="18"/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30</v>
      </c>
      <c r="C20" s="18"/>
      <c r="D20" s="18"/>
      <c r="E20" s="61">
        <v>15</v>
      </c>
      <c r="F20" s="18" t="s">
        <v>11</v>
      </c>
      <c r="G20" s="20" t="s">
        <v>110</v>
      </c>
      <c r="I20" s="72">
        <v>3</v>
      </c>
      <c r="J20" s="58" t="s">
        <v>70</v>
      </c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18" t="s">
        <v>31</v>
      </c>
      <c r="C21" s="18"/>
      <c r="D21" s="18"/>
      <c r="E21" s="61">
        <v>300</v>
      </c>
      <c r="F21" s="18" t="s">
        <v>34</v>
      </c>
      <c r="G21" s="20" t="s">
        <v>111</v>
      </c>
      <c r="I21" s="72">
        <v>16.7</v>
      </c>
      <c r="J21" s="20" t="s">
        <v>119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32</v>
      </c>
      <c r="C22" s="18"/>
      <c r="D22" s="18"/>
      <c r="E22" s="61">
        <v>10</v>
      </c>
      <c r="F22" s="18" t="s">
        <v>33</v>
      </c>
      <c r="G22" s="20" t="s">
        <v>113</v>
      </c>
      <c r="I22" s="163">
        <v>9.0700000000000003E-2</v>
      </c>
      <c r="J22" s="20" t="s">
        <v>119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58" t="s">
        <v>52</v>
      </c>
      <c r="C23" s="18"/>
      <c r="D23" s="18"/>
      <c r="E23" s="61">
        <v>0</v>
      </c>
      <c r="F23" s="58" t="s">
        <v>53</v>
      </c>
      <c r="G23" s="20" t="s">
        <v>114</v>
      </c>
      <c r="I23" s="163">
        <v>2.42</v>
      </c>
      <c r="J23" s="58" t="s">
        <v>70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20" t="s">
        <v>104</v>
      </c>
      <c r="E24" s="131">
        <v>0</v>
      </c>
      <c r="F24" s="20" t="s">
        <v>70</v>
      </c>
      <c r="G24" s="20" t="s">
        <v>115</v>
      </c>
      <c r="I24" s="163">
        <v>8.0000000000000002E-3</v>
      </c>
      <c r="J24" s="20" t="s">
        <v>119</v>
      </c>
      <c r="K24" s="30"/>
      <c r="L24" s="18"/>
      <c r="M24" s="153" t="s">
        <v>49</v>
      </c>
      <c r="N24" s="57"/>
      <c r="O24" s="158">
        <f t="shared" si="0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20" t="s">
        <v>109</v>
      </c>
      <c r="E25" s="131">
        <v>0.1</v>
      </c>
      <c r="F25" s="20" t="s">
        <v>105</v>
      </c>
      <c r="G25" s="18" t="s">
        <v>116</v>
      </c>
      <c r="H25" s="58"/>
      <c r="I25" s="163">
        <v>4.3999999999999997E-2</v>
      </c>
      <c r="J25" s="20" t="s">
        <v>70</v>
      </c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60</v>
      </c>
      <c r="C26" s="18"/>
      <c r="D26" s="18"/>
      <c r="E26" s="131">
        <v>1</v>
      </c>
      <c r="F26" s="20" t="s">
        <v>61</v>
      </c>
      <c r="G26" s="20" t="s">
        <v>120</v>
      </c>
      <c r="I26" s="163">
        <v>0</v>
      </c>
      <c r="J26" s="18" t="s">
        <v>121</v>
      </c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 t="s">
        <v>35</v>
      </c>
      <c r="C27" s="18"/>
      <c r="D27" s="18"/>
      <c r="E27" s="72">
        <v>15</v>
      </c>
      <c r="F27" s="18" t="s">
        <v>11</v>
      </c>
      <c r="J27" s="1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18" t="s">
        <v>36</v>
      </c>
      <c r="C28" s="18"/>
      <c r="D28" s="18"/>
      <c r="E28" s="130">
        <v>1.0129999999999999</v>
      </c>
      <c r="F28" s="18" t="s">
        <v>34</v>
      </c>
      <c r="G28" s="19" t="s">
        <v>62</v>
      </c>
      <c r="H28" s="60"/>
      <c r="I28" s="18"/>
      <c r="J28" s="58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18" t="s">
        <v>112</v>
      </c>
      <c r="C29" s="18"/>
      <c r="D29" s="18"/>
      <c r="E29" s="72">
        <v>2</v>
      </c>
      <c r="F29" s="58" t="s">
        <v>70</v>
      </c>
      <c r="G29" s="58" t="s">
        <v>125</v>
      </c>
      <c r="H29" s="18"/>
      <c r="I29" s="74">
        <v>23.918883297436881</v>
      </c>
      <c r="J29" s="58" t="s">
        <v>126</v>
      </c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58" t="s">
        <v>117</v>
      </c>
      <c r="C30" s="18"/>
      <c r="D30" s="18"/>
      <c r="E30" s="72">
        <v>0</v>
      </c>
      <c r="F30" s="20" t="s">
        <v>70</v>
      </c>
      <c r="G30" s="18"/>
      <c r="H30" s="18"/>
      <c r="I30" s="162"/>
      <c r="J30" s="5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B31" s="18" t="s">
        <v>118</v>
      </c>
      <c r="C31" s="18"/>
      <c r="D31" s="18"/>
      <c r="E31" s="72">
        <v>0</v>
      </c>
      <c r="F31" s="20" t="s">
        <v>70</v>
      </c>
      <c r="G31" s="18"/>
      <c r="H31" s="60"/>
      <c r="I31" s="162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B32" s="20" t="s">
        <v>122</v>
      </c>
      <c r="E32" s="72">
        <v>100</v>
      </c>
      <c r="F32" s="20" t="s">
        <v>123</v>
      </c>
      <c r="G32" s="18"/>
      <c r="H32" s="62"/>
      <c r="I32" s="162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58"/>
      <c r="C33" s="18"/>
      <c r="D33" s="18"/>
      <c r="E33" s="18"/>
      <c r="G33" s="1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/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 t="str">
        <f>IF(O86&gt;0,"Output has been changed, output should not be changed manually.","")</f>
        <v/>
      </c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0" s="90" customFormat="1" ht="11.25" x14ac:dyDescent="0.2">
      <c r="A65" s="91"/>
      <c r="B65" s="92"/>
      <c r="C65" s="92"/>
      <c r="D65" s="92"/>
      <c r="E65" s="92"/>
      <c r="F65" s="92"/>
      <c r="G65" s="92"/>
      <c r="H65" s="92"/>
      <c r="I65" s="92"/>
      <c r="J65" s="92"/>
      <c r="K65" s="93"/>
      <c r="L65" s="94"/>
      <c r="M65" s="94"/>
      <c r="N65" s="94"/>
      <c r="O65" s="94"/>
      <c r="P65" s="94"/>
      <c r="Q65" s="94"/>
      <c r="R65" s="94"/>
      <c r="S65" s="94"/>
      <c r="T65" s="94"/>
    </row>
    <row r="66" spans="1:20" s="20" customFormat="1" ht="11.25" x14ac:dyDescent="0.2">
      <c r="A66" s="91"/>
      <c r="C66" s="95"/>
      <c r="D66" s="96"/>
      <c r="E66" s="95"/>
      <c r="F66" s="95"/>
      <c r="G66" s="95"/>
      <c r="H66" s="95"/>
      <c r="I66" s="95"/>
      <c r="J66" s="95"/>
      <c r="K66" s="93"/>
      <c r="L66" s="18"/>
      <c r="N66" s="18"/>
      <c r="O66" s="18"/>
      <c r="P66" s="18"/>
      <c r="Q66" s="18"/>
      <c r="R66" s="18"/>
      <c r="S66" s="18"/>
      <c r="T66" s="18"/>
    </row>
    <row r="67" spans="1:20" s="20" customFormat="1" ht="11.25" x14ac:dyDescent="0.2">
      <c r="A67" s="91"/>
      <c r="B67" s="95"/>
      <c r="C67" s="95"/>
      <c r="D67" s="95"/>
      <c r="E67" s="95"/>
      <c r="F67" s="95"/>
      <c r="G67" s="95"/>
      <c r="H67" s="95"/>
      <c r="I67" s="95"/>
      <c r="J67" s="95"/>
      <c r="K67" s="93"/>
      <c r="L67" s="18"/>
      <c r="M67" s="18"/>
      <c r="N67" s="18"/>
      <c r="O67" s="18"/>
      <c r="P67" s="18"/>
      <c r="Q67" s="18"/>
      <c r="R67" s="18"/>
      <c r="S67" s="18"/>
      <c r="T67" s="18"/>
    </row>
    <row r="68" spans="1:20" s="20" customFormat="1" ht="11.25" x14ac:dyDescent="0.2">
      <c r="A68" s="91"/>
      <c r="C68" s="95"/>
      <c r="D68" s="95"/>
      <c r="E68" s="95"/>
      <c r="F68" s="97"/>
      <c r="G68" s="95"/>
      <c r="H68" s="95"/>
      <c r="I68" s="95"/>
      <c r="J68" s="95"/>
      <c r="K68" s="93"/>
      <c r="L68" s="18"/>
      <c r="M68" s="18"/>
      <c r="N68" s="18"/>
      <c r="O68" s="98"/>
      <c r="P68" s="18"/>
      <c r="Q68" s="18"/>
      <c r="R68" s="18"/>
      <c r="S68" s="18"/>
      <c r="T68" s="18"/>
    </row>
    <row r="69" spans="1:20" s="20" customFormat="1" ht="11.25" x14ac:dyDescent="0.2">
      <c r="A69" s="91"/>
      <c r="B69" s="95"/>
      <c r="C69" s="95"/>
      <c r="D69" s="95"/>
      <c r="E69" s="95"/>
      <c r="F69" s="95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0" s="20" customFormat="1" ht="11.25" x14ac:dyDescent="0.2">
      <c r="A70" s="99"/>
      <c r="B70" s="95"/>
      <c r="C70" s="95"/>
      <c r="D70" s="7"/>
      <c r="E70" s="95"/>
      <c r="F70" s="100"/>
      <c r="G70" s="18"/>
      <c r="H70" s="18"/>
      <c r="I70" s="18"/>
      <c r="J70" s="95"/>
      <c r="K70" s="101"/>
      <c r="L70" s="18"/>
      <c r="M70" s="18"/>
      <c r="N70" s="18"/>
      <c r="O70" s="98"/>
      <c r="P70" s="18"/>
      <c r="Q70" s="18"/>
      <c r="R70" s="18"/>
      <c r="S70" s="18"/>
      <c r="T70" s="18"/>
    </row>
    <row r="71" spans="1:20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0" s="20" customFormat="1" ht="10.5" customHeight="1" x14ac:dyDescent="0.2">
      <c r="A72" s="99"/>
      <c r="B72" s="92"/>
      <c r="C72" s="18"/>
      <c r="D72" s="18"/>
      <c r="E72" s="18"/>
      <c r="F72" s="18"/>
      <c r="G72" s="18"/>
      <c r="H72" s="18"/>
      <c r="I72" s="18"/>
      <c r="J72" s="92"/>
      <c r="K72" s="93"/>
      <c r="L72" s="18"/>
      <c r="M72" s="18"/>
      <c r="N72" s="18"/>
      <c r="O72" s="98"/>
      <c r="P72" s="18"/>
      <c r="Q72" s="18"/>
      <c r="R72" s="18"/>
      <c r="S72" s="18"/>
      <c r="T72" s="18"/>
    </row>
    <row r="73" spans="1:20" s="20" customFormat="1" ht="11.25" x14ac:dyDescent="0.2">
      <c r="A73" s="99"/>
      <c r="B73" s="92"/>
      <c r="C73" s="97"/>
      <c r="D73" s="97"/>
      <c r="E73" s="18"/>
      <c r="F73" s="190"/>
      <c r="G73" s="190"/>
      <c r="H73" s="190"/>
      <c r="I73" s="190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0" s="20" customFormat="1" ht="10.5" customHeight="1" x14ac:dyDescent="0.2">
      <c r="A74" s="99"/>
      <c r="B74" s="92"/>
      <c r="C74" s="97"/>
      <c r="D74" s="97"/>
      <c r="E74" s="18"/>
      <c r="F74" s="97"/>
      <c r="G74" s="97"/>
      <c r="H74" s="97"/>
      <c r="I74" s="97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0" s="20" customFormat="1" ht="11.25" x14ac:dyDescent="0.2">
      <c r="A75" s="99"/>
      <c r="B75" s="92"/>
      <c r="C75" s="7"/>
      <c r="D75" s="18"/>
      <c r="E75" s="18"/>
      <c r="F75" s="102"/>
      <c r="G75" s="102"/>
      <c r="H75" s="102"/>
      <c r="I75" s="102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0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0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0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0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0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N85" s="18"/>
      <c r="O85" s="1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M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9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7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18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3"/>
      <c r="G91" s="103"/>
      <c r="H91" s="103"/>
      <c r="I91" s="103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7"/>
      <c r="E93" s="18"/>
      <c r="F93" s="102"/>
      <c r="G93" s="102"/>
      <c r="H93" s="102"/>
      <c r="I93" s="102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18"/>
      <c r="E95" s="18"/>
      <c r="F95" s="103"/>
      <c r="G95" s="103"/>
      <c r="H95" s="103"/>
      <c r="I95" s="103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18"/>
      <c r="C98" s="7"/>
      <c r="D98" s="18"/>
      <c r="E98" s="18"/>
      <c r="F98" s="103"/>
      <c r="G98" s="103"/>
      <c r="H98" s="103"/>
      <c r="I98" s="103"/>
      <c r="J98" s="18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1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2"/>
      <c r="I100" s="102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77"/>
      <c r="G101" s="77"/>
      <c r="H101" s="77"/>
      <c r="I101" s="77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18"/>
      <c r="D102" s="18"/>
      <c r="E102" s="18"/>
      <c r="F102" s="18"/>
      <c r="G102" s="18"/>
      <c r="H102" s="18"/>
      <c r="I102" s="18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92"/>
      <c r="D103" s="18"/>
      <c r="E103" s="104"/>
      <c r="F103" s="105"/>
      <c r="G103" s="105"/>
      <c r="H103" s="105"/>
      <c r="I103" s="105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29"/>
      <c r="F104" s="106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7"/>
      <c r="G105" s="107"/>
      <c r="H105" s="107"/>
      <c r="I105" s="107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8"/>
      <c r="G106" s="109"/>
      <c r="H106" s="109"/>
      <c r="I106" s="108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8"/>
      <c r="H107" s="108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10"/>
      <c r="H108" s="110"/>
      <c r="I108" s="110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08"/>
      <c r="H109" s="108"/>
      <c r="I109" s="108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18"/>
      <c r="D110" s="18"/>
      <c r="E110" s="29"/>
      <c r="F110" s="106"/>
      <c r="G110" s="106"/>
      <c r="H110" s="106"/>
      <c r="I110" s="106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92"/>
      <c r="C112" s="18"/>
      <c r="D112" s="18"/>
      <c r="E112" s="29"/>
      <c r="F112" s="106"/>
      <c r="G112" s="106"/>
      <c r="H112" s="106"/>
      <c r="I112" s="106"/>
      <c r="J112" s="92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8"/>
      <c r="G113" s="108"/>
      <c r="H113" s="108"/>
      <c r="I113" s="108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92"/>
      <c r="D115" s="92"/>
      <c r="E115" s="92"/>
      <c r="F115" s="92"/>
      <c r="G115" s="92"/>
      <c r="H115" s="92"/>
      <c r="I115" s="92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92"/>
      <c r="D116" s="92"/>
      <c r="E116" s="92"/>
      <c r="F116" s="92"/>
      <c r="G116" s="92"/>
      <c r="H116" s="92"/>
      <c r="I116" s="92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112"/>
      <c r="B118" s="113"/>
      <c r="C118" s="113"/>
      <c r="D118" s="113"/>
      <c r="E118" s="113"/>
      <c r="F118" s="113"/>
      <c r="G118" s="114"/>
      <c r="H118" s="113"/>
      <c r="I118" s="113"/>
      <c r="J118" s="113"/>
      <c r="K118" s="115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89"/>
      <c r="B119" s="116"/>
      <c r="C119" s="116"/>
      <c r="D119" s="116"/>
      <c r="E119" s="116"/>
      <c r="F119" s="116"/>
      <c r="G119" s="117"/>
      <c r="H119" s="116"/>
      <c r="I119" s="116"/>
      <c r="J119" s="116"/>
      <c r="K119" s="116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90" customFormat="1" ht="12" x14ac:dyDescent="0.2">
      <c r="A120" s="164"/>
      <c r="B120" s="165"/>
      <c r="C120" s="165"/>
      <c r="D120" s="165"/>
      <c r="E120" s="165"/>
      <c r="F120" s="165"/>
      <c r="G120" s="166"/>
      <c r="H120" s="165"/>
      <c r="I120" s="165"/>
      <c r="J120" s="165"/>
      <c r="K120" s="167"/>
      <c r="L120" s="94"/>
      <c r="M120" s="94"/>
      <c r="N120" s="94"/>
      <c r="O120" s="94"/>
      <c r="P120" s="94"/>
      <c r="Q120" s="94"/>
      <c r="R120" s="94"/>
      <c r="S120" s="94"/>
      <c r="T120" s="94"/>
    </row>
    <row r="121" spans="1:20" s="34" customFormat="1" ht="12.75" customHeight="1" x14ac:dyDescent="0.2">
      <c r="A121" s="168"/>
      <c r="G121" s="119"/>
      <c r="K121" s="169"/>
      <c r="L121" s="31"/>
      <c r="M121" s="31"/>
      <c r="N121" s="31"/>
      <c r="O121" s="31"/>
      <c r="P121" s="31"/>
      <c r="Q121" s="31"/>
      <c r="R121" s="31"/>
      <c r="S121" s="31"/>
      <c r="T121" s="31"/>
    </row>
    <row r="122" spans="1:20" s="34" customFormat="1" ht="12.75" customHeight="1" x14ac:dyDescent="0.2">
      <c r="A122" s="168"/>
      <c r="G122" s="119"/>
      <c r="K122" s="169"/>
      <c r="L122" s="31"/>
      <c r="M122" s="31"/>
      <c r="N122" s="31"/>
      <c r="O122" s="31"/>
      <c r="P122" s="31"/>
      <c r="Q122" s="31"/>
      <c r="R122" s="31"/>
      <c r="S122" s="31"/>
      <c r="T122" s="31"/>
    </row>
    <row r="123" spans="1:20" s="34" customFormat="1" ht="12.75" customHeight="1" x14ac:dyDescent="0.2">
      <c r="A123" s="168"/>
      <c r="G123" s="119"/>
      <c r="K123" s="169"/>
      <c r="L123" s="31"/>
      <c r="M123" s="31">
        <v>7</v>
      </c>
      <c r="N123" s="31"/>
      <c r="O123" s="31"/>
      <c r="P123" s="31"/>
      <c r="Q123" s="31"/>
      <c r="R123" s="31"/>
      <c r="S123" s="31"/>
      <c r="T123" s="31"/>
    </row>
    <row r="124" spans="1:20" s="34" customFormat="1" ht="12.75" customHeight="1" x14ac:dyDescent="0.2">
      <c r="A124" s="168"/>
      <c r="G124" s="119"/>
      <c r="K124" s="16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68"/>
      <c r="G125" s="119"/>
      <c r="K125" s="16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68"/>
      <c r="G126" s="119"/>
      <c r="K126" s="16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68"/>
      <c r="G127" s="119"/>
      <c r="K127" s="16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68"/>
      <c r="G128" s="119"/>
      <c r="K128" s="16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68"/>
      <c r="G129" s="119"/>
      <c r="K129" s="16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68"/>
      <c r="G130" s="119"/>
      <c r="K130" s="16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68"/>
      <c r="G131" s="119"/>
      <c r="K131" s="16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68"/>
      <c r="G132" s="119"/>
      <c r="K132" s="16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68"/>
      <c r="G133" s="119"/>
      <c r="K133" s="16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68"/>
      <c r="G134" s="119"/>
      <c r="K134" s="16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68"/>
      <c r="G135" s="119"/>
      <c r="K135" s="16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68"/>
      <c r="G136" s="119"/>
      <c r="K136" s="16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68"/>
      <c r="G137" s="119"/>
      <c r="K137" s="16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68"/>
      <c r="G138" s="119"/>
      <c r="K138" s="16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68"/>
      <c r="G139" s="119"/>
      <c r="K139" s="16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68"/>
      <c r="G140" s="119"/>
      <c r="K140" s="16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68"/>
      <c r="G141" s="119"/>
      <c r="K141" s="16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68"/>
      <c r="G142" s="119"/>
      <c r="K142" s="16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68"/>
      <c r="G143" s="119"/>
      <c r="K143" s="16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68"/>
      <c r="G144" s="119"/>
      <c r="K144" s="16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70"/>
      <c r="B145" s="9"/>
      <c r="C145" s="9"/>
      <c r="D145" s="9"/>
      <c r="E145" s="9"/>
      <c r="F145" s="9"/>
      <c r="G145" s="121"/>
      <c r="H145" s="9"/>
      <c r="I145" s="9"/>
      <c r="J145" s="9"/>
      <c r="K145" s="23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x14ac:dyDescent="0.2">
      <c r="A146" s="170"/>
      <c r="K146" s="23"/>
      <c r="L146" s="8"/>
      <c r="M146" s="8"/>
      <c r="N146" s="8"/>
      <c r="O146" s="8"/>
      <c r="P146" s="8"/>
      <c r="Q146" s="8"/>
      <c r="R146" s="8"/>
      <c r="S146" s="8"/>
      <c r="T146" s="8"/>
    </row>
    <row r="147" spans="1:20" x14ac:dyDescent="0.2">
      <c r="A147" s="170"/>
      <c r="K147" s="23"/>
      <c r="L147" s="8"/>
      <c r="M147" s="8"/>
      <c r="N147" s="8"/>
      <c r="O147" s="8"/>
      <c r="P147" s="8"/>
      <c r="Q147" s="8"/>
      <c r="R147" s="8"/>
      <c r="S147" s="8"/>
      <c r="T147" s="8"/>
    </row>
    <row r="148" spans="1:20" x14ac:dyDescent="0.2">
      <c r="A148" s="170"/>
      <c r="K148" s="23"/>
      <c r="L148" s="8"/>
      <c r="M148" s="8"/>
      <c r="N148" s="8"/>
      <c r="O148" s="8"/>
      <c r="P148" s="8"/>
      <c r="Q148" s="8"/>
      <c r="R148" s="8"/>
      <c r="S148" s="8"/>
      <c r="T148" s="8"/>
    </row>
    <row r="149" spans="1:20" x14ac:dyDescent="0.2">
      <c r="A149" s="170"/>
      <c r="K149" s="23"/>
      <c r="L149" s="8"/>
      <c r="M149" s="8"/>
      <c r="N149" s="8"/>
      <c r="O149" s="8"/>
      <c r="P149" s="8"/>
      <c r="Q149" s="8"/>
      <c r="R149" s="8"/>
      <c r="S149" s="8"/>
      <c r="T149" s="8"/>
    </row>
    <row r="150" spans="1:20" x14ac:dyDescent="0.2">
      <c r="A150" s="170"/>
      <c r="K150" s="23"/>
    </row>
    <row r="151" spans="1:20" x14ac:dyDescent="0.2">
      <c r="A151" s="170"/>
      <c r="K151" s="23"/>
    </row>
    <row r="152" spans="1:20" x14ac:dyDescent="0.2">
      <c r="A152" s="170"/>
      <c r="K152" s="23"/>
    </row>
    <row r="153" spans="1:20" x14ac:dyDescent="0.2">
      <c r="A153" s="170"/>
      <c r="K153" s="23"/>
    </row>
    <row r="154" spans="1:20" x14ac:dyDescent="0.2">
      <c r="A154" s="170"/>
      <c r="K154" s="23"/>
    </row>
    <row r="155" spans="1:20" x14ac:dyDescent="0.2">
      <c r="A155" s="170"/>
      <c r="K155" s="23"/>
    </row>
    <row r="156" spans="1:20" x14ac:dyDescent="0.2">
      <c r="A156" s="170"/>
      <c r="K156" s="23"/>
    </row>
    <row r="157" spans="1:20" x14ac:dyDescent="0.2">
      <c r="A157" s="170"/>
      <c r="K157" s="23"/>
    </row>
    <row r="158" spans="1:20" x14ac:dyDescent="0.2">
      <c r="A158" s="170"/>
      <c r="K158" s="23"/>
    </row>
    <row r="159" spans="1:20" x14ac:dyDescent="0.2">
      <c r="A159" s="170"/>
      <c r="K159" s="23"/>
    </row>
    <row r="160" spans="1:20" x14ac:dyDescent="0.2">
      <c r="A160" s="170"/>
      <c r="K160" s="23"/>
    </row>
    <row r="161" spans="1:11" x14ac:dyDescent="0.2">
      <c r="A161" s="170"/>
      <c r="K161" s="23"/>
    </row>
    <row r="162" spans="1:11" x14ac:dyDescent="0.2">
      <c r="A162" s="170"/>
      <c r="K162" s="23"/>
    </row>
    <row r="163" spans="1:11" x14ac:dyDescent="0.2">
      <c r="A163" s="170"/>
      <c r="K163" s="23"/>
    </row>
    <row r="164" spans="1:11" x14ac:dyDescent="0.2">
      <c r="A164" s="170"/>
      <c r="K164" s="23"/>
    </row>
    <row r="165" spans="1:11" x14ac:dyDescent="0.2">
      <c r="A165" s="170"/>
      <c r="K165" s="23"/>
    </row>
    <row r="166" spans="1:11" x14ac:dyDescent="0.2">
      <c r="A166" s="170"/>
      <c r="K166" s="23"/>
    </row>
    <row r="167" spans="1:11" x14ac:dyDescent="0.2">
      <c r="A167" s="170"/>
      <c r="K167" s="23"/>
    </row>
    <row r="168" spans="1:11" x14ac:dyDescent="0.2">
      <c r="A168" s="171"/>
      <c r="B168" s="172"/>
      <c r="C168" s="172"/>
      <c r="D168" s="172"/>
      <c r="E168" s="172"/>
      <c r="F168" s="172"/>
      <c r="G168" s="173"/>
      <c r="H168" s="172"/>
      <c r="I168" s="172"/>
      <c r="J168" s="172"/>
      <c r="K168" s="174"/>
    </row>
    <row r="169" spans="1:11" x14ac:dyDescent="0.2">
      <c r="A169" s="175"/>
      <c r="B169" s="176"/>
      <c r="C169" s="176"/>
      <c r="D169" s="176"/>
      <c r="E169" s="176"/>
      <c r="F169" s="176"/>
      <c r="G169" s="177"/>
      <c r="H169" s="176"/>
      <c r="I169" s="176"/>
      <c r="J169" s="176"/>
      <c r="K169" s="178"/>
    </row>
    <row r="170" spans="1:11" x14ac:dyDescent="0.2">
      <c r="A170" s="179" t="s">
        <v>124</v>
      </c>
      <c r="B170" s="179"/>
      <c r="C170" s="172"/>
      <c r="D170" s="172"/>
      <c r="E170" s="172"/>
      <c r="F170" s="172"/>
      <c r="G170" s="173"/>
      <c r="H170" s="172"/>
      <c r="I170" s="172"/>
      <c r="J170" s="172"/>
      <c r="K170" s="174"/>
    </row>
    <row r="171" spans="1:11" x14ac:dyDescent="0.2">
      <c r="A171" s="170"/>
      <c r="K171" s="23"/>
    </row>
    <row r="172" spans="1:11" x14ac:dyDescent="0.2">
      <c r="A172" s="170"/>
      <c r="K172" s="23"/>
    </row>
    <row r="173" spans="1:11" x14ac:dyDescent="0.2">
      <c r="A173" s="170"/>
      <c r="K173" s="23"/>
    </row>
    <row r="174" spans="1:11" x14ac:dyDescent="0.2">
      <c r="A174" s="170"/>
      <c r="K174" s="23"/>
    </row>
    <row r="175" spans="1:11" x14ac:dyDescent="0.2">
      <c r="A175" s="170"/>
      <c r="K175" s="23"/>
    </row>
    <row r="176" spans="1:11" x14ac:dyDescent="0.2">
      <c r="A176" s="170"/>
      <c r="K176" s="23"/>
    </row>
    <row r="177" spans="1:11" x14ac:dyDescent="0.2">
      <c r="A177" s="170"/>
      <c r="K177" s="23"/>
    </row>
    <row r="178" spans="1:11" x14ac:dyDescent="0.2">
      <c r="A178" s="170"/>
      <c r="K178" s="23"/>
    </row>
    <row r="179" spans="1:11" x14ac:dyDescent="0.2">
      <c r="A179" s="170"/>
      <c r="K179" s="23"/>
    </row>
    <row r="180" spans="1:11" x14ac:dyDescent="0.2">
      <c r="A180" s="170"/>
      <c r="K180" s="23"/>
    </row>
    <row r="181" spans="1:11" x14ac:dyDescent="0.2">
      <c r="A181" s="170"/>
      <c r="K181" s="23"/>
    </row>
    <row r="182" spans="1:11" x14ac:dyDescent="0.2">
      <c r="A182" s="170"/>
      <c r="K182" s="23"/>
    </row>
    <row r="183" spans="1:11" x14ac:dyDescent="0.2">
      <c r="A183" s="170"/>
      <c r="K183" s="23"/>
    </row>
    <row r="184" spans="1:11" x14ac:dyDescent="0.2">
      <c r="A184" s="170"/>
      <c r="K184" s="23"/>
    </row>
    <row r="185" spans="1:11" x14ac:dyDescent="0.2">
      <c r="A185" s="170"/>
      <c r="K185" s="23"/>
    </row>
    <row r="186" spans="1:11" x14ac:dyDescent="0.2">
      <c r="A186" s="170"/>
      <c r="K186" s="23"/>
    </row>
    <row r="187" spans="1:11" x14ac:dyDescent="0.2">
      <c r="A187" s="170"/>
      <c r="K187" s="23"/>
    </row>
    <row r="188" spans="1:11" x14ac:dyDescent="0.2">
      <c r="A188" s="170"/>
      <c r="K188" s="23"/>
    </row>
    <row r="189" spans="1:11" x14ac:dyDescent="0.2">
      <c r="A189" s="170"/>
      <c r="K189" s="23"/>
    </row>
    <row r="190" spans="1:11" x14ac:dyDescent="0.2">
      <c r="A190" s="170"/>
      <c r="K190" s="23"/>
    </row>
    <row r="191" spans="1:11" x14ac:dyDescent="0.2">
      <c r="A191" s="170"/>
      <c r="K191" s="23"/>
    </row>
    <row r="192" spans="1:11" x14ac:dyDescent="0.2">
      <c r="A192" s="170"/>
      <c r="K192" s="23"/>
    </row>
    <row r="193" spans="1:11" x14ac:dyDescent="0.2">
      <c r="A193" s="170"/>
      <c r="K193" s="23"/>
    </row>
    <row r="194" spans="1:11" x14ac:dyDescent="0.2">
      <c r="A194" s="170"/>
      <c r="K194" s="23"/>
    </row>
    <row r="195" spans="1:11" x14ac:dyDescent="0.2">
      <c r="A195" s="170"/>
      <c r="K195" s="23"/>
    </row>
    <row r="196" spans="1:11" x14ac:dyDescent="0.2">
      <c r="A196" s="170"/>
      <c r="K196" s="23"/>
    </row>
    <row r="197" spans="1:11" x14ac:dyDescent="0.2">
      <c r="A197" s="170"/>
      <c r="K197" s="23"/>
    </row>
    <row r="198" spans="1:11" x14ac:dyDescent="0.2">
      <c r="A198" s="170"/>
      <c r="K198" s="23"/>
    </row>
    <row r="199" spans="1:11" x14ac:dyDescent="0.2">
      <c r="A199" s="170"/>
      <c r="K199" s="23"/>
    </row>
    <row r="200" spans="1:11" x14ac:dyDescent="0.2">
      <c r="A200" s="170"/>
      <c r="K200" s="23"/>
    </row>
    <row r="201" spans="1:11" x14ac:dyDescent="0.2">
      <c r="A201" s="170"/>
      <c r="K201" s="23"/>
    </row>
    <row r="202" spans="1:11" x14ac:dyDescent="0.2">
      <c r="A202" s="170"/>
      <c r="K202" s="23"/>
    </row>
    <row r="203" spans="1:11" x14ac:dyDescent="0.2">
      <c r="A203" s="170"/>
      <c r="K203" s="23"/>
    </row>
    <row r="204" spans="1:11" x14ac:dyDescent="0.2">
      <c r="A204" s="170"/>
      <c r="K204" s="23"/>
    </row>
    <row r="205" spans="1:11" x14ac:dyDescent="0.2">
      <c r="A205" s="170"/>
      <c r="K205" s="23"/>
    </row>
    <row r="206" spans="1:11" x14ac:dyDescent="0.2">
      <c r="A206" s="170"/>
      <c r="K206" s="23"/>
    </row>
    <row r="207" spans="1:11" x14ac:dyDescent="0.2">
      <c r="A207" s="170"/>
      <c r="K207" s="23"/>
    </row>
    <row r="208" spans="1:11" x14ac:dyDescent="0.2">
      <c r="A208" s="170"/>
      <c r="K208" s="23"/>
    </row>
    <row r="209" spans="1:11" x14ac:dyDescent="0.2">
      <c r="A209" s="170"/>
      <c r="K209" s="23"/>
    </row>
    <row r="210" spans="1:11" x14ac:dyDescent="0.2">
      <c r="A210" s="170"/>
      <c r="K210" s="23"/>
    </row>
    <row r="211" spans="1:11" x14ac:dyDescent="0.2">
      <c r="A211" s="170"/>
      <c r="K211" s="23"/>
    </row>
    <row r="212" spans="1:11" x14ac:dyDescent="0.2">
      <c r="A212" s="170"/>
      <c r="K212" s="23"/>
    </row>
    <row r="213" spans="1:11" x14ac:dyDescent="0.2">
      <c r="A213" s="170"/>
      <c r="K213" s="23"/>
    </row>
    <row r="214" spans="1:11" x14ac:dyDescent="0.2">
      <c r="A214" s="170"/>
      <c r="K214" s="23"/>
    </row>
    <row r="215" spans="1:11" x14ac:dyDescent="0.2">
      <c r="A215" s="170"/>
      <c r="K215" s="23"/>
    </row>
    <row r="216" spans="1:11" x14ac:dyDescent="0.2">
      <c r="A216" s="170"/>
      <c r="K216" s="23"/>
    </row>
    <row r="217" spans="1:11" x14ac:dyDescent="0.2">
      <c r="A217" s="171"/>
      <c r="B217" s="172"/>
      <c r="C217" s="172"/>
      <c r="D217" s="172"/>
      <c r="E217" s="172"/>
      <c r="F217" s="172"/>
      <c r="G217" s="173"/>
      <c r="H217" s="172"/>
      <c r="I217" s="172"/>
      <c r="J217" s="172"/>
      <c r="K217" s="174"/>
    </row>
  </sheetData>
  <sheetProtection formatCells="0"/>
  <mergeCells count="10">
    <mergeCell ref="E16:G16"/>
    <mergeCell ref="E17:G17"/>
    <mergeCell ref="E18:G18"/>
    <mergeCell ref="F73:I73"/>
    <mergeCell ref="A3:I3"/>
    <mergeCell ref="N3:P3"/>
    <mergeCell ref="N4:P4"/>
    <mergeCell ref="N5:P5"/>
    <mergeCell ref="B12:J12"/>
    <mergeCell ref="E15:G15"/>
  </mergeCells>
  <conditionalFormatting sqref="K26">
    <cfRule type="expression" dxfId="1" priority="1" stopIfTrue="1">
      <formula>$E$16&lt;&gt;"Pilot Remote Sensing Line"</formula>
    </cfRule>
  </conditionalFormatting>
  <dataValidations count="6">
    <dataValidation type="list" allowBlank="1" showInputMessage="1" showErrorMessage="1" sqref="E17:G17" xr:uid="{8867B7C8-F8FB-4595-87E5-247874DBBBAA}">
      <formula1>$U$14:$U$15</formula1>
    </dataValidation>
    <dataValidation type="list" allowBlank="1" showInputMessage="1" showErrorMessage="1" sqref="E15:G15" xr:uid="{156F27E8-50AF-4DB5-B203-B1ABED1910F8}">
      <formula1>$R$14:$R$18</formula1>
    </dataValidation>
    <dataValidation type="list" allowBlank="1" showInputMessage="1" showErrorMessage="1" sqref="E16:G16" xr:uid="{F5D5FD06-0106-49C7-B948-B20C91D7C263}">
      <formula1>$T$14:$T$17</formula1>
    </dataValidation>
    <dataValidation type="list" allowBlank="1" showInputMessage="1" showErrorMessage="1" sqref="N5" xr:uid="{C6844997-A0B5-4700-826A-DE6BEB1158BC}">
      <formula1>"EOS, COSTALD"</formula1>
    </dataValidation>
    <dataValidation type="list" allowBlank="1" showInputMessage="1" showErrorMessage="1" sqref="J15" xr:uid="{AF77FD98-7E16-4C4E-BF3C-9B768CFF926E}">
      <formula1>"Gas Relief, Steam relief"</formula1>
    </dataValidation>
    <dataValidation type="list" allowBlank="1" showInputMessage="1" showErrorMessage="1" sqref="N4:P4" xr:uid="{A343C74A-1BEA-42DC-BAB8-2BDA0CFF3F09}">
      <formula1>"Adiabatic Flash,Isentropic Flash, Liquid HEM"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3" manualBreakCount="3">
    <brk id="64" max="10" man="1"/>
    <brk id="119" max="10" man="1"/>
    <brk id="168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1]!PrintSinglePage">
                <anchor moveWithCells="1" sizeWithCells="1">
                  <from>
                    <xdr:col>9</xdr:col>
                    <xdr:colOff>28575</xdr:colOff>
                    <xdr:row>5</xdr:row>
                    <xdr:rowOff>19050</xdr:rowOff>
                  </from>
                  <to>
                    <xdr:col>10</xdr:col>
                    <xdr:colOff>542925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1]!PrintTwoPage">
                <anchor moveWithCells="1" sizeWithCells="1">
                  <from>
                    <xdr:col>9</xdr:col>
                    <xdr:colOff>38100</xdr:colOff>
                    <xdr:row>7</xdr:row>
                    <xdr:rowOff>76200</xdr:rowOff>
                  </from>
                  <to>
                    <xdr:col>10</xdr:col>
                    <xdr:colOff>542925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Sheet20.Run_Confined_Overpressure">
                <anchor moveWithCells="1" sizeWithCells="1">
                  <from>
                    <xdr:col>7</xdr:col>
                    <xdr:colOff>390525</xdr:colOff>
                    <xdr:row>13</xdr:row>
                    <xdr:rowOff>95250</xdr:rowOff>
                  </from>
                  <to>
                    <xdr:col>10</xdr:col>
                    <xdr:colOff>142875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1B7FB-1F91-4D34-88C7-6333C3B02C51}">
  <sheetPr codeName="Sheet21">
    <tabColor rgb="FF92D050"/>
    <pageSetUpPr fitToPage="1"/>
  </sheetPr>
  <dimension ref="A1:Y113"/>
  <sheetViews>
    <sheetView showGridLines="0" tabSelected="1" defaultGridColor="0" view="pageBreakPreview" colorId="8" zoomScaleNormal="100" zoomScaleSheetLayoutView="100" workbookViewId="0">
      <selection activeCell="I1" sqref="I1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1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1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1" ht="12.75" customHeight="1" x14ac:dyDescent="0.2">
      <c r="A3" s="194" t="e">
        <f>TITLE</f>
        <v>#NAME?</v>
      </c>
      <c r="B3" s="195"/>
      <c r="C3" s="195"/>
      <c r="D3" s="195"/>
      <c r="E3" s="195"/>
      <c r="F3" s="195"/>
      <c r="G3" s="195"/>
      <c r="H3" s="195"/>
      <c r="I3" s="195"/>
      <c r="J3" s="21"/>
      <c r="K3" s="22"/>
      <c r="L3" s="8"/>
      <c r="M3" s="19"/>
      <c r="N3" s="185"/>
      <c r="O3" s="185"/>
      <c r="P3" s="185"/>
      <c r="Q3" s="8"/>
      <c r="R3" s="8"/>
      <c r="S3" s="8"/>
      <c r="T3" s="8"/>
    </row>
    <row r="4" spans="1:21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85"/>
      <c r="O4" s="185"/>
      <c r="P4" s="185"/>
      <c r="Q4" s="18"/>
      <c r="R4" s="18"/>
      <c r="S4" s="18"/>
      <c r="T4" s="18"/>
    </row>
    <row r="5" spans="1:21" ht="12.75" customHeight="1" x14ac:dyDescent="0.2">
      <c r="A5" s="24" t="s">
        <v>98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85"/>
      <c r="O5" s="185"/>
      <c r="P5" s="185"/>
      <c r="Q5" s="8"/>
      <c r="R5" s="8"/>
      <c r="S5" s="8"/>
      <c r="T5" s="8"/>
    </row>
    <row r="6" spans="1:21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1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1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1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1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1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1" s="20" customFormat="1" ht="11.25" x14ac:dyDescent="0.2">
      <c r="A12" s="28"/>
      <c r="B12" s="186" t="s">
        <v>37</v>
      </c>
      <c r="C12" s="187"/>
      <c r="D12" s="187"/>
      <c r="E12" s="187"/>
      <c r="F12" s="187"/>
      <c r="G12" s="187"/>
      <c r="H12" s="187"/>
      <c r="I12" s="187"/>
      <c r="J12" s="187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1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1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>N14/$N$26</f>
        <v>0.9</v>
      </c>
      <c r="P14" s="18"/>
      <c r="Q14" s="18"/>
      <c r="R14" s="55" t="s">
        <v>55</v>
      </c>
      <c r="S14" s="18"/>
      <c r="T14" s="18" t="s">
        <v>39</v>
      </c>
      <c r="U14" s="20" t="s">
        <v>106</v>
      </c>
    </row>
    <row r="15" spans="1:21" s="20" customFormat="1" ht="11.25" x14ac:dyDescent="0.2">
      <c r="A15" s="28"/>
      <c r="B15" s="7" t="s">
        <v>29</v>
      </c>
      <c r="C15" s="49"/>
      <c r="D15" s="49"/>
      <c r="E15" s="188"/>
      <c r="F15" s="188"/>
      <c r="G15" s="188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 t="shared" ref="O15:O25" si="0">N15/$N$26</f>
        <v>0.05</v>
      </c>
      <c r="P15" s="18"/>
      <c r="Q15" s="18"/>
      <c r="R15" s="55" t="s">
        <v>56</v>
      </c>
      <c r="S15" s="18"/>
      <c r="T15" s="18" t="s">
        <v>41</v>
      </c>
      <c r="U15" s="20" t="s">
        <v>107</v>
      </c>
    </row>
    <row r="16" spans="1:21" s="20" customFormat="1" ht="11.25" x14ac:dyDescent="0.2">
      <c r="A16" s="28"/>
      <c r="B16" s="7" t="s">
        <v>38</v>
      </c>
      <c r="C16" s="7"/>
      <c r="D16" s="7"/>
      <c r="E16" s="189" t="s">
        <v>39</v>
      </c>
      <c r="F16" s="189"/>
      <c r="G16" s="189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 t="shared" si="0"/>
        <v>0.05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E17" s="189"/>
      <c r="F17" s="189"/>
      <c r="G17" s="189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E18" s="196"/>
      <c r="F18" s="196"/>
      <c r="G18" s="196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60" t="s">
        <v>8</v>
      </c>
      <c r="C19" s="7"/>
      <c r="D19" s="7"/>
      <c r="E19" s="18"/>
      <c r="F19" s="18"/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30</v>
      </c>
      <c r="C20" s="18"/>
      <c r="D20" s="18"/>
      <c r="E20" s="61">
        <v>15</v>
      </c>
      <c r="F20" s="18" t="s">
        <v>11</v>
      </c>
      <c r="I20" s="72"/>
      <c r="J20" s="58"/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18" t="s">
        <v>31</v>
      </c>
      <c r="C21" s="18"/>
      <c r="D21" s="18"/>
      <c r="E21" s="61">
        <v>300</v>
      </c>
      <c r="F21" s="18" t="s">
        <v>34</v>
      </c>
      <c r="I21" s="72"/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32</v>
      </c>
      <c r="C22" s="18"/>
      <c r="D22" s="18"/>
      <c r="E22" s="61">
        <v>10</v>
      </c>
      <c r="F22" s="18" t="s">
        <v>33</v>
      </c>
      <c r="I22" s="163"/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58" t="s">
        <v>52</v>
      </c>
      <c r="C23" s="18"/>
      <c r="D23" s="18"/>
      <c r="E23" s="61"/>
      <c r="F23" s="58"/>
      <c r="I23" s="163"/>
      <c r="J23" s="58"/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20" t="s">
        <v>104</v>
      </c>
      <c r="E24" s="131"/>
      <c r="I24" s="163"/>
      <c r="K24" s="30"/>
      <c r="L24" s="18"/>
      <c r="M24" s="153" t="s">
        <v>49</v>
      </c>
      <c r="N24" s="57"/>
      <c r="O24" s="158">
        <f t="shared" si="0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20" t="s">
        <v>109</v>
      </c>
      <c r="E25" s="131">
        <v>0.1</v>
      </c>
      <c r="F25" s="20" t="s">
        <v>105</v>
      </c>
      <c r="G25" s="18"/>
      <c r="H25" s="58"/>
      <c r="I25" s="163"/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60</v>
      </c>
      <c r="C26" s="18"/>
      <c r="D26" s="18"/>
      <c r="E26" s="131">
        <v>1</v>
      </c>
      <c r="F26" s="20" t="s">
        <v>61</v>
      </c>
      <c r="I26" s="163"/>
      <c r="J26" s="1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 t="s">
        <v>35</v>
      </c>
      <c r="C27" s="18"/>
      <c r="D27" s="18"/>
      <c r="E27" s="72">
        <v>15</v>
      </c>
      <c r="F27" s="18" t="s">
        <v>11</v>
      </c>
      <c r="J27" s="1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18" t="s">
        <v>36</v>
      </c>
      <c r="C28" s="18"/>
      <c r="D28" s="18"/>
      <c r="E28" s="130">
        <v>1.0129999999999999</v>
      </c>
      <c r="F28" s="18" t="s">
        <v>34</v>
      </c>
      <c r="G28" s="19" t="s">
        <v>62</v>
      </c>
      <c r="H28" s="60"/>
      <c r="I28" s="18"/>
      <c r="J28" s="58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18"/>
      <c r="C29" s="18"/>
      <c r="D29" s="18"/>
      <c r="E29" s="72"/>
      <c r="F29" s="58"/>
      <c r="G29" s="58" t="s">
        <v>125</v>
      </c>
      <c r="H29" s="18"/>
      <c r="I29" s="74">
        <v>23.918883297436881</v>
      </c>
      <c r="J29" s="58" t="s">
        <v>126</v>
      </c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58"/>
      <c r="C30" s="18"/>
      <c r="D30" s="18"/>
      <c r="E30" s="72"/>
      <c r="G30" s="18"/>
      <c r="H30" s="18"/>
      <c r="I30" s="162"/>
      <c r="J30" s="5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B31" s="18"/>
      <c r="C31" s="18"/>
      <c r="D31" s="18"/>
      <c r="E31" s="72"/>
      <c r="G31" s="18"/>
      <c r="H31" s="60"/>
      <c r="I31" s="162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B32" s="20" t="s">
        <v>122</v>
      </c>
      <c r="E32" s="72">
        <v>100</v>
      </c>
      <c r="F32" s="20" t="s">
        <v>123</v>
      </c>
      <c r="G32" s="18"/>
      <c r="H32" s="62"/>
      <c r="I32" s="162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58"/>
      <c r="C33" s="18"/>
      <c r="D33" s="18"/>
      <c r="E33" s="18"/>
      <c r="G33" s="1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/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/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11" x14ac:dyDescent="0.2">
      <c r="A65" s="175"/>
      <c r="B65" s="176"/>
      <c r="C65" s="176"/>
      <c r="D65" s="176"/>
      <c r="E65" s="176"/>
      <c r="F65" s="176"/>
      <c r="G65" s="177"/>
      <c r="H65" s="176"/>
      <c r="I65" s="176"/>
      <c r="J65" s="176"/>
      <c r="K65" s="178"/>
    </row>
    <row r="66" spans="1:11" x14ac:dyDescent="0.2">
      <c r="A66" s="179" t="s">
        <v>124</v>
      </c>
      <c r="B66" s="179"/>
      <c r="C66" s="172"/>
      <c r="D66" s="172"/>
      <c r="E66" s="172"/>
      <c r="F66" s="172"/>
      <c r="G66" s="173"/>
      <c r="H66" s="172"/>
      <c r="I66" s="172"/>
      <c r="J66" s="172"/>
      <c r="K66" s="174"/>
    </row>
    <row r="67" spans="1:11" x14ac:dyDescent="0.2">
      <c r="A67" s="170"/>
      <c r="K67" s="23"/>
    </row>
    <row r="68" spans="1:11" x14ac:dyDescent="0.2">
      <c r="A68" s="170"/>
      <c r="K68" s="23"/>
    </row>
    <row r="69" spans="1:11" x14ac:dyDescent="0.2">
      <c r="A69" s="170"/>
      <c r="K69" s="23"/>
    </row>
    <row r="70" spans="1:11" x14ac:dyDescent="0.2">
      <c r="A70" s="170"/>
      <c r="K70" s="23"/>
    </row>
    <row r="71" spans="1:11" x14ac:dyDescent="0.2">
      <c r="A71" s="170"/>
      <c r="K71" s="23"/>
    </row>
    <row r="72" spans="1:11" x14ac:dyDescent="0.2">
      <c r="A72" s="170"/>
      <c r="K72" s="23"/>
    </row>
    <row r="73" spans="1:11" x14ac:dyDescent="0.2">
      <c r="A73" s="170"/>
      <c r="K73" s="23"/>
    </row>
    <row r="74" spans="1:11" x14ac:dyDescent="0.2">
      <c r="A74" s="170"/>
      <c r="K74" s="23"/>
    </row>
    <row r="75" spans="1:11" x14ac:dyDescent="0.2">
      <c r="A75" s="170"/>
      <c r="K75" s="23"/>
    </row>
    <row r="76" spans="1:11" x14ac:dyDescent="0.2">
      <c r="A76" s="170"/>
      <c r="K76" s="23"/>
    </row>
    <row r="77" spans="1:11" x14ac:dyDescent="0.2">
      <c r="A77" s="170"/>
      <c r="K77" s="23"/>
    </row>
    <row r="78" spans="1:11" x14ac:dyDescent="0.2">
      <c r="A78" s="170"/>
      <c r="K78" s="23"/>
    </row>
    <row r="79" spans="1:11" x14ac:dyDescent="0.2">
      <c r="A79" s="170"/>
      <c r="K79" s="23"/>
    </row>
    <row r="80" spans="1:11" x14ac:dyDescent="0.2">
      <c r="A80" s="170"/>
      <c r="K80" s="23"/>
    </row>
    <row r="81" spans="1:11" x14ac:dyDescent="0.2">
      <c r="A81" s="170"/>
      <c r="K81" s="23"/>
    </row>
    <row r="82" spans="1:11" x14ac:dyDescent="0.2">
      <c r="A82" s="170"/>
      <c r="K82" s="23"/>
    </row>
    <row r="83" spans="1:11" x14ac:dyDescent="0.2">
      <c r="A83" s="170"/>
      <c r="K83" s="23"/>
    </row>
    <row r="84" spans="1:11" x14ac:dyDescent="0.2">
      <c r="A84" s="170"/>
      <c r="K84" s="23"/>
    </row>
    <row r="85" spans="1:11" x14ac:dyDescent="0.2">
      <c r="A85" s="170"/>
      <c r="K85" s="23"/>
    </row>
    <row r="86" spans="1:11" x14ac:dyDescent="0.2">
      <c r="A86" s="170"/>
      <c r="K86" s="23"/>
    </row>
    <row r="87" spans="1:11" x14ac:dyDescent="0.2">
      <c r="A87" s="170"/>
      <c r="K87" s="23"/>
    </row>
    <row r="88" spans="1:11" x14ac:dyDescent="0.2">
      <c r="A88" s="170"/>
      <c r="K88" s="23"/>
    </row>
    <row r="89" spans="1:11" x14ac:dyDescent="0.2">
      <c r="A89" s="170"/>
      <c r="K89" s="23"/>
    </row>
    <row r="90" spans="1:11" x14ac:dyDescent="0.2">
      <c r="A90" s="170"/>
      <c r="K90" s="23"/>
    </row>
    <row r="91" spans="1:11" x14ac:dyDescent="0.2">
      <c r="A91" s="170"/>
      <c r="K91" s="23"/>
    </row>
    <row r="92" spans="1:11" x14ac:dyDescent="0.2">
      <c r="A92" s="170"/>
      <c r="K92" s="23"/>
    </row>
    <row r="93" spans="1:11" x14ac:dyDescent="0.2">
      <c r="A93" s="170"/>
      <c r="K93" s="23"/>
    </row>
    <row r="94" spans="1:11" x14ac:dyDescent="0.2">
      <c r="A94" s="170"/>
      <c r="K94" s="23"/>
    </row>
    <row r="95" spans="1:11" x14ac:dyDescent="0.2">
      <c r="A95" s="170"/>
      <c r="K95" s="23"/>
    </row>
    <row r="96" spans="1:11" x14ac:dyDescent="0.2">
      <c r="A96" s="170"/>
      <c r="K96" s="23"/>
    </row>
    <row r="97" spans="1:11" x14ac:dyDescent="0.2">
      <c r="A97" s="170"/>
      <c r="K97" s="23"/>
    </row>
    <row r="98" spans="1:11" x14ac:dyDescent="0.2">
      <c r="A98" s="170"/>
      <c r="K98" s="23"/>
    </row>
    <row r="99" spans="1:11" x14ac:dyDescent="0.2">
      <c r="A99" s="170"/>
      <c r="K99" s="23"/>
    </row>
    <row r="100" spans="1:11" x14ac:dyDescent="0.2">
      <c r="A100" s="170"/>
      <c r="K100" s="23"/>
    </row>
    <row r="101" spans="1:11" x14ac:dyDescent="0.2">
      <c r="A101" s="170"/>
      <c r="K101" s="23"/>
    </row>
    <row r="102" spans="1:11" x14ac:dyDescent="0.2">
      <c r="A102" s="170"/>
      <c r="K102" s="23"/>
    </row>
    <row r="103" spans="1:11" x14ac:dyDescent="0.2">
      <c r="A103" s="170"/>
      <c r="K103" s="23"/>
    </row>
    <row r="104" spans="1:11" x14ac:dyDescent="0.2">
      <c r="A104" s="170"/>
      <c r="K104" s="23"/>
    </row>
    <row r="105" spans="1:11" x14ac:dyDescent="0.2">
      <c r="A105" s="170"/>
      <c r="K105" s="23"/>
    </row>
    <row r="106" spans="1:11" x14ac:dyDescent="0.2">
      <c r="A106" s="170"/>
      <c r="K106" s="23"/>
    </row>
    <row r="107" spans="1:11" x14ac:dyDescent="0.2">
      <c r="A107" s="170"/>
      <c r="K107" s="23"/>
    </row>
    <row r="108" spans="1:11" x14ac:dyDescent="0.2">
      <c r="A108" s="170"/>
      <c r="K108" s="23"/>
    </row>
    <row r="109" spans="1:11" x14ac:dyDescent="0.2">
      <c r="A109" s="170"/>
      <c r="K109" s="23"/>
    </row>
    <row r="110" spans="1:11" x14ac:dyDescent="0.2">
      <c r="A110" s="170"/>
      <c r="K110" s="23"/>
    </row>
    <row r="111" spans="1:11" x14ac:dyDescent="0.2">
      <c r="A111" s="170"/>
      <c r="K111" s="23"/>
    </row>
    <row r="112" spans="1:11" x14ac:dyDescent="0.2">
      <c r="A112" s="170"/>
      <c r="K112" s="23"/>
    </row>
    <row r="113" spans="1:11" x14ac:dyDescent="0.2">
      <c r="A113" s="171"/>
      <c r="B113" s="172"/>
      <c r="C113" s="172"/>
      <c r="D113" s="172"/>
      <c r="E113" s="172"/>
      <c r="F113" s="172"/>
      <c r="G113" s="173"/>
      <c r="H113" s="172"/>
      <c r="I113" s="172"/>
      <c r="J113" s="172"/>
      <c r="K113" s="174"/>
    </row>
  </sheetData>
  <sheetProtection formatCells="0"/>
  <mergeCells count="9">
    <mergeCell ref="E16:G16"/>
    <mergeCell ref="E17:G17"/>
    <mergeCell ref="E18:G18"/>
    <mergeCell ref="A3:I3"/>
    <mergeCell ref="N3:P3"/>
    <mergeCell ref="N4:P4"/>
    <mergeCell ref="N5:P5"/>
    <mergeCell ref="B12:J12"/>
    <mergeCell ref="E15:G15"/>
  </mergeCells>
  <conditionalFormatting sqref="K26">
    <cfRule type="expression" dxfId="0" priority="1" stopIfTrue="1">
      <formula>$E$16&lt;&gt;"Pilot Remote Sensing Line"</formula>
    </cfRule>
  </conditionalFormatting>
  <dataValidations count="6">
    <dataValidation type="list" allowBlank="1" showInputMessage="1" showErrorMessage="1" sqref="N4:P4" xr:uid="{066361DC-F975-4C05-B30A-B5D0CD85737A}">
      <formula1>"Adiabatic Flash,Isentropic Flash, Liquid HEM"</formula1>
    </dataValidation>
    <dataValidation type="list" allowBlank="1" showInputMessage="1" showErrorMessage="1" sqref="J15" xr:uid="{8198A597-A346-4FDB-B7BD-F70D2C2EA376}">
      <formula1>"Gas Relief, Steam relief"</formula1>
    </dataValidation>
    <dataValidation type="list" allowBlank="1" showInputMessage="1" showErrorMessage="1" sqref="N5" xr:uid="{7AC8C086-D54F-4E9B-8A1D-F373082D40F3}">
      <formula1>"EOS, COSTALD"</formula1>
    </dataValidation>
    <dataValidation type="list" allowBlank="1" showInputMessage="1" showErrorMessage="1" sqref="E16:G16" xr:uid="{97A37F36-0AFA-4C33-BED9-254312E8524B}">
      <formula1>$T$14:$T$17</formula1>
    </dataValidation>
    <dataValidation type="list" allowBlank="1" showInputMessage="1" showErrorMessage="1" sqref="E15:G15" xr:uid="{55B4406C-6E27-496E-92A1-B02C444D2A9A}">
      <formula1>$R$14:$R$18</formula1>
    </dataValidation>
    <dataValidation type="list" allowBlank="1" showInputMessage="1" showErrorMessage="1" sqref="E17:G17" xr:uid="{099C1ECC-7A16-49BB-BEDF-078D4ACAD62C}">
      <formula1>$U$14:$U$15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1" manualBreakCount="1">
    <brk id="64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PrintSinglePage">
                <anchor moveWithCells="1" sizeWithCells="1">
                  <from>
                    <xdr:col>9</xdr:col>
                    <xdr:colOff>28575</xdr:colOff>
                    <xdr:row>5</xdr:row>
                    <xdr:rowOff>19050</xdr:rowOff>
                  </from>
                  <to>
                    <xdr:col>10</xdr:col>
                    <xdr:colOff>542925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1]!PrintTwoPage">
                <anchor moveWithCells="1" sizeWithCells="1">
                  <from>
                    <xdr:col>9</xdr:col>
                    <xdr:colOff>38100</xdr:colOff>
                    <xdr:row>7</xdr:row>
                    <xdr:rowOff>76200</xdr:rowOff>
                  </from>
                  <to>
                    <xdr:col>10</xdr:col>
                    <xdr:colOff>542925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Sheet21.Run_Blowdown">
                <anchor moveWithCells="1" sizeWithCells="1">
                  <from>
                    <xdr:col>7</xdr:col>
                    <xdr:colOff>371475</xdr:colOff>
                    <xdr:row>13</xdr:row>
                    <xdr:rowOff>104775</xdr:rowOff>
                  </from>
                  <to>
                    <xdr:col>10</xdr:col>
                    <xdr:colOff>133350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AC3AB-354E-464B-932D-428E82A5E751}">
  <sheetPr codeName="Sheet6"/>
  <dimension ref="A1:C17"/>
  <sheetViews>
    <sheetView workbookViewId="0">
      <selection activeCell="D10" sqref="D10"/>
    </sheetView>
  </sheetViews>
  <sheetFormatPr defaultColWidth="10.140625" defaultRowHeight="15.75" x14ac:dyDescent="0.2"/>
  <cols>
    <col min="1" max="1" width="16.85546875" style="122" customWidth="1"/>
    <col min="2" max="2" width="14.28515625" style="122" customWidth="1"/>
    <col min="3" max="16384" width="10.140625" style="122"/>
  </cols>
  <sheetData>
    <row r="1" spans="1:3" x14ac:dyDescent="0.2">
      <c r="A1" s="122" t="s">
        <v>13</v>
      </c>
      <c r="B1" s="122" t="s">
        <v>14</v>
      </c>
    </row>
    <row r="2" spans="1:3" x14ac:dyDescent="0.2">
      <c r="A2" s="122" t="s">
        <v>15</v>
      </c>
    </row>
    <row r="3" spans="1:3" ht="14.25" customHeight="1" x14ac:dyDescent="0.2">
      <c r="A3" s="122" t="s">
        <v>16</v>
      </c>
      <c r="B3" s="123"/>
      <c r="C3" s="122" t="s">
        <v>17</v>
      </c>
    </row>
    <row r="4" spans="1:3" x14ac:dyDescent="0.2">
      <c r="A4" s="122" t="s">
        <v>18</v>
      </c>
    </row>
    <row r="5" spans="1:3" x14ac:dyDescent="0.2">
      <c r="A5" s="122" t="s">
        <v>19</v>
      </c>
    </row>
    <row r="6" spans="1:3" x14ac:dyDescent="0.2">
      <c r="A6" s="122" t="s">
        <v>20</v>
      </c>
    </row>
    <row r="7" spans="1:3" x14ac:dyDescent="0.2">
      <c r="A7" s="122" t="s">
        <v>21</v>
      </c>
      <c r="B7" s="122" t="b">
        <v>0</v>
      </c>
    </row>
    <row r="8" spans="1:3" x14ac:dyDescent="0.2">
      <c r="A8" s="122" t="s">
        <v>22</v>
      </c>
      <c r="B8" s="122" t="b">
        <v>0</v>
      </c>
    </row>
    <row r="9" spans="1:3" x14ac:dyDescent="0.2">
      <c r="A9" s="122" t="s">
        <v>23</v>
      </c>
      <c r="B9" s="122" t="b">
        <v>0</v>
      </c>
    </row>
    <row r="11" spans="1:3" x14ac:dyDescent="0.2">
      <c r="B11" s="123"/>
    </row>
    <row r="13" spans="1:3" x14ac:dyDescent="0.2">
      <c r="A13" s="124" t="s">
        <v>24</v>
      </c>
    </row>
    <row r="14" spans="1:3" x14ac:dyDescent="0.2">
      <c r="A14" s="122" t="s">
        <v>25</v>
      </c>
    </row>
    <row r="15" spans="1:3" x14ac:dyDescent="0.2">
      <c r="A15" s="122" t="s">
        <v>26</v>
      </c>
    </row>
    <row r="16" spans="1:3" x14ac:dyDescent="0.2">
      <c r="A16" s="122" t="s">
        <v>27</v>
      </c>
    </row>
    <row r="17" spans="1:1" x14ac:dyDescent="0.2">
      <c r="A17" s="122" t="s">
        <v>28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112</vt:i4>
      </vt:variant>
    </vt:vector>
  </HeadingPairs>
  <TitlesOfParts>
    <vt:vector size="119" baseType="lpstr">
      <vt:lpstr>README</vt:lpstr>
      <vt:lpstr>Unconfined overpressure</vt:lpstr>
      <vt:lpstr>Jet flame</vt:lpstr>
      <vt:lpstr>Jet plume</vt:lpstr>
      <vt:lpstr>Confined overpressure</vt:lpstr>
      <vt:lpstr>Blowdown</vt:lpstr>
      <vt:lpstr>xlwings.conf</vt:lpstr>
      <vt:lpstr>'Jet flame'!AMB_HUM</vt:lpstr>
      <vt:lpstr>'Jet plume'!AMB_HUM</vt:lpstr>
      <vt:lpstr>Blowdown!AMB_PRES</vt:lpstr>
      <vt:lpstr>'Confined overpressure'!AMB_PRES</vt:lpstr>
      <vt:lpstr>'Jet flame'!AMB_PRES</vt:lpstr>
      <vt:lpstr>'Jet plume'!AMB_PRES</vt:lpstr>
      <vt:lpstr>'Unconfined overpressure'!AMB_PRES</vt:lpstr>
      <vt:lpstr>Blowdown!AMB_TEMP</vt:lpstr>
      <vt:lpstr>'Confined overpressure'!AMB_TEMP</vt:lpstr>
      <vt:lpstr>'Jet flame'!AMB_TEMP</vt:lpstr>
      <vt:lpstr>'Jet plume'!AMB_TEMP</vt:lpstr>
      <vt:lpstr>'Unconfined overpressure'!AMB_TEMP</vt:lpstr>
      <vt:lpstr>BLOWDOWN</vt:lpstr>
      <vt:lpstr>BST_FLAME_SPEED</vt:lpstr>
      <vt:lpstr>CALCULATION_METHOD</vt:lpstr>
      <vt:lpstr>CEIL_VENT_AREA</vt:lpstr>
      <vt:lpstr>CEIL_VENT_HEIGHT</vt:lpstr>
      <vt:lpstr>CONTOUR</vt:lpstr>
      <vt:lpstr>DIST_REL_TO_WALL</vt:lpstr>
      <vt:lpstr>ENCLOSURE_HEIGHT</vt:lpstr>
      <vt:lpstr>FLAME_MASS_FLOW</vt:lpstr>
      <vt:lpstr>FLOOR_CEIL_AREA</vt:lpstr>
      <vt:lpstr>FLOOR_VENT_AREA</vt:lpstr>
      <vt:lpstr>FLOOR_VENT_HEIGHT</vt:lpstr>
      <vt:lpstr>Blowdown!HYRAM_COMPS</vt:lpstr>
      <vt:lpstr>'Confined overpressure'!HYRAM_COMPS</vt:lpstr>
      <vt:lpstr>'Jet flame'!HYRAM_COMPS</vt:lpstr>
      <vt:lpstr>'Unconfined overpressure'!HYRAM_COMPS</vt:lpstr>
      <vt:lpstr>HYRAM_COMPS</vt:lpstr>
      <vt:lpstr>Blowdown!HYRAM_MOLEFRACS</vt:lpstr>
      <vt:lpstr>'Confined overpressure'!HYRAM_MOLEFRACS</vt:lpstr>
      <vt:lpstr>'Jet flame'!HYRAM_MOLEFRACS</vt:lpstr>
      <vt:lpstr>'Unconfined overpressure'!HYRAM_MOLEFRACS</vt:lpstr>
      <vt:lpstr>HYRAM_MOLEFRACS</vt:lpstr>
      <vt:lpstr>Blowdown!LEAK_CD</vt:lpstr>
      <vt:lpstr>'Confined overpressure'!LEAK_CD</vt:lpstr>
      <vt:lpstr>'Jet flame'!LEAK_CD</vt:lpstr>
      <vt:lpstr>'Jet plume'!LEAK_CD</vt:lpstr>
      <vt:lpstr>'Unconfined overpressure'!LEAK_CD</vt:lpstr>
      <vt:lpstr>Blowdown!LEAK_DIAMETER</vt:lpstr>
      <vt:lpstr>'Confined overpressure'!LEAK_DIAMETER</vt:lpstr>
      <vt:lpstr>'Jet flame'!LEAK_DIAMETER</vt:lpstr>
      <vt:lpstr>'Jet plume'!LEAK_DIAMETER</vt:lpstr>
      <vt:lpstr>'Unconfined overpressure'!LEAK_DIAMETER</vt:lpstr>
      <vt:lpstr>LFL</vt:lpstr>
      <vt:lpstr>MAX_OVERPRESSURE</vt:lpstr>
      <vt:lpstr>Blowdown!MAX_TIME</vt:lpstr>
      <vt:lpstr>MAX_TIME</vt:lpstr>
      <vt:lpstr>'Confined overpressure'!NOZZLE_MODEL</vt:lpstr>
      <vt:lpstr>'Jet flame'!NOZZLE_MODEL</vt:lpstr>
      <vt:lpstr>'Jet plume'!NOZZLE_MODEL</vt:lpstr>
      <vt:lpstr>'Unconfined overpressure'!NOZZLE_MODEL</vt:lpstr>
      <vt:lpstr>OVERP_IMPULSE</vt:lpstr>
      <vt:lpstr>OVERP_MASS</vt:lpstr>
      <vt:lpstr>OVERP_MASS_FLOW</vt:lpstr>
      <vt:lpstr>OVERP_PRESSURE</vt:lpstr>
      <vt:lpstr>OVERP_X</vt:lpstr>
      <vt:lpstr>OVERP_Y</vt:lpstr>
      <vt:lpstr>OVERP_Z</vt:lpstr>
      <vt:lpstr>POSITIONAL_FLUX</vt:lpstr>
      <vt:lpstr>Blowdown!Print_Area</vt:lpstr>
      <vt:lpstr>'Confined overpressure'!Print_Area</vt:lpstr>
      <vt:lpstr>'Jet flame'!Print_Area</vt:lpstr>
      <vt:lpstr>'Jet plume'!Print_Area</vt:lpstr>
      <vt:lpstr>'Unconfined overpressure'!Print_Area</vt:lpstr>
      <vt:lpstr>Blowdown!Print_Titles</vt:lpstr>
      <vt:lpstr>'Confined overpressure'!Print_Titles</vt:lpstr>
      <vt:lpstr>'Jet flame'!Print_Titles</vt:lpstr>
      <vt:lpstr>'Jet plume'!Print_Titles</vt:lpstr>
      <vt:lpstr>'Unconfined overpressure'!Print_Titles</vt:lpstr>
      <vt:lpstr>RADIANT_FRAC</vt:lpstr>
      <vt:lpstr>RADIATION_X</vt:lpstr>
      <vt:lpstr>RADIATION_Y</vt:lpstr>
      <vt:lpstr>RADIATION_Z</vt:lpstr>
      <vt:lpstr>RADIATIVE_POWER</vt:lpstr>
      <vt:lpstr>Blowdown!REL_COMP</vt:lpstr>
      <vt:lpstr>'Confined overpressure'!REL_COMP</vt:lpstr>
      <vt:lpstr>'Jet flame'!REL_COMP</vt:lpstr>
      <vt:lpstr>'Unconfined overpressure'!REL_COMP</vt:lpstr>
      <vt:lpstr>REL_COMP</vt:lpstr>
      <vt:lpstr>REL_HEIGHT</vt:lpstr>
      <vt:lpstr>'Confined overpressure'!RELEASE_ANGLE</vt:lpstr>
      <vt:lpstr>'Jet flame'!RELEASE_ANGLE</vt:lpstr>
      <vt:lpstr>'Jet plume'!RELEASE_ANGLE</vt:lpstr>
      <vt:lpstr>'Unconfined overpressure'!RELEASE_ANGLE</vt:lpstr>
      <vt:lpstr>'Jet plume'!RES_MASS_FLOW</vt:lpstr>
      <vt:lpstr>'Jet plume'!RES_MAX_X</vt:lpstr>
      <vt:lpstr>'Jet plume'!RES_MAX_Y</vt:lpstr>
      <vt:lpstr>'Jet plume'!RES_MIN_X</vt:lpstr>
      <vt:lpstr>'Jet plume'!RES_MIN_Y</vt:lpstr>
      <vt:lpstr>'Jet plume'!RES_STREAM_LENGTH</vt:lpstr>
      <vt:lpstr>Blowdown!STAG_PRES</vt:lpstr>
      <vt:lpstr>'Confined overpressure'!STAG_PRES</vt:lpstr>
      <vt:lpstr>'Jet flame'!STAG_PRES</vt:lpstr>
      <vt:lpstr>'Jet plume'!STAG_PRES</vt:lpstr>
      <vt:lpstr>'Unconfined overpressure'!STAG_PRES</vt:lpstr>
      <vt:lpstr>Blowdown!STAG_TEMP</vt:lpstr>
      <vt:lpstr>'Confined overpressure'!STAG_TEMP</vt:lpstr>
      <vt:lpstr>'Jet flame'!STAG_TEMP</vt:lpstr>
      <vt:lpstr>'Jet plume'!STAG_TEMP</vt:lpstr>
      <vt:lpstr>'Unconfined overpressure'!STAG_TEMP</vt:lpstr>
      <vt:lpstr>Blowdown!TANK_VOLUME</vt:lpstr>
      <vt:lpstr>TANK_VOLUME</vt:lpstr>
      <vt:lpstr>Blowdown!VENT_RATE</vt:lpstr>
      <vt:lpstr>VENT_RATE</vt:lpstr>
      <vt:lpstr>VISIBLE_LENGTH</vt:lpstr>
      <vt:lpstr>VMAX</vt:lpstr>
      <vt:lpstr>WIND_SPEED</vt:lpstr>
      <vt:lpstr>XMAX</vt:lpstr>
      <vt:lpstr>XMIN</vt:lpstr>
      <vt:lpstr>YMAX</vt:lpstr>
      <vt:lpstr>YMIN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 Andreasen</dc:creator>
  <cp:lastModifiedBy>Anders Andreasen</cp:lastModifiedBy>
  <cp:lastPrinted>2025-03-16T12:23:13Z</cp:lastPrinted>
  <dcterms:created xsi:type="dcterms:W3CDTF">2025-02-02T20:38:25Z</dcterms:created>
  <dcterms:modified xsi:type="dcterms:W3CDTF">2025-03-21T16:10:06Z</dcterms:modified>
</cp:coreProperties>
</file>